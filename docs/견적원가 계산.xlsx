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f58b57fc2a9ad52/Desktop/원가시스템/"/>
    </mc:Choice>
  </mc:AlternateContent>
  <xr:revisionPtr revIDLastSave="7" documentId="11_C304837FA574D3C245B33E98B0A237F1CFDB90B4" xr6:coauthVersionLast="47" xr6:coauthVersionMax="47" xr10:uidLastSave="{14A27EB8-E176-4A6D-9D44-929A3213A674}"/>
  <bookViews>
    <workbookView xWindow="-108" yWindow="-108" windowWidth="23256" windowHeight="12456" tabRatio="877" activeTab="4" xr2:uid="{00000000-000D-0000-FFFF-FFFF00000000}"/>
  </bookViews>
  <sheets>
    <sheet name="List" sheetId="123" r:id="rId1"/>
    <sheet name="견적" sheetId="142" r:id="rId2"/>
    <sheet name="손익계산서" sheetId="139" r:id="rId3"/>
    <sheet name="RFQ정보" sheetId="140" r:id="rId4"/>
    <sheet name="master list(견적BOM)" sheetId="138" r:id="rId5"/>
    <sheet name="원가산출 정보" sheetId="136" r:id="rId6"/>
    <sheet name="기준정보" sheetId="141" r:id="rId7"/>
    <sheet name="목표" sheetId="143" r:id="rId8"/>
    <sheet name="목표수익률" sheetId="144" r:id="rId9"/>
  </sheets>
  <definedNames>
    <definedName name="_xlnm._FilterDatabase" localSheetId="0" hidden="1">List!$A$3:$J$19</definedName>
    <definedName name="_xlnm.Print_Area" localSheetId="0">List!$A$1:$I$19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36" l="1"/>
  <c r="F45" i="136" s="1"/>
  <c r="G45" i="136" s="1"/>
  <c r="H45" i="136" s="1"/>
  <c r="I45" i="136" s="1"/>
  <c r="J45" i="136" s="1"/>
  <c r="K45" i="136" s="1"/>
  <c r="D45" i="136"/>
  <c r="C43" i="140" l="1"/>
  <c r="D43" i="140" s="1"/>
  <c r="C44" i="140"/>
  <c r="C51" i="140" s="1"/>
  <c r="C45" i="140"/>
  <c r="C52" i="140" s="1"/>
  <c r="C42" i="140"/>
  <c r="D42" i="140" s="1"/>
  <c r="L27" i="136"/>
  <c r="L28" i="136" s="1"/>
  <c r="N27" i="136"/>
  <c r="N28" i="136" s="1"/>
  <c r="O27" i="136"/>
  <c r="O28" i="136" s="1"/>
  <c r="K27" i="136"/>
  <c r="K28" i="136" s="1"/>
  <c r="M19" i="136"/>
  <c r="L19" i="136"/>
  <c r="N19" i="136"/>
  <c r="O19" i="136"/>
  <c r="K19" i="136"/>
  <c r="G75" i="140"/>
  <c r="G76" i="140"/>
  <c r="G77" i="140"/>
  <c r="G78" i="140"/>
  <c r="G79" i="140"/>
  <c r="G80" i="140"/>
  <c r="G81" i="140"/>
  <c r="G74" i="140"/>
  <c r="G7" i="139"/>
  <c r="G19" i="139" s="1"/>
  <c r="H7" i="139"/>
  <c r="H19" i="139" s="1"/>
  <c r="I7" i="139"/>
  <c r="I19" i="139" s="1"/>
  <c r="J7" i="139"/>
  <c r="J19" i="139" s="1"/>
  <c r="K7" i="139"/>
  <c r="K19" i="139" s="1"/>
  <c r="L7" i="139"/>
  <c r="L19" i="139" s="1"/>
  <c r="M7" i="139"/>
  <c r="M19" i="139" s="1"/>
  <c r="F7" i="139"/>
  <c r="F19" i="139" s="1"/>
  <c r="K31" i="140"/>
  <c r="K30" i="140"/>
  <c r="K29" i="140"/>
  <c r="D45" i="140" l="1"/>
  <c r="E45" i="140" s="1"/>
  <c r="F45" i="140" s="1"/>
  <c r="G45" i="140" s="1"/>
  <c r="H45" i="140" s="1"/>
  <c r="I45" i="140" s="1"/>
  <c r="J45" i="140" s="1"/>
  <c r="J52" i="140" s="1"/>
  <c r="C50" i="140"/>
  <c r="E43" i="140"/>
  <c r="D50" i="140"/>
  <c r="D49" i="140"/>
  <c r="G11" i="139" s="1"/>
  <c r="G23" i="139" s="1"/>
  <c r="E42" i="140"/>
  <c r="D44" i="140"/>
  <c r="C49" i="140"/>
  <c r="F11" i="139" s="1"/>
  <c r="F25" i="139" s="1"/>
  <c r="F52" i="140"/>
  <c r="G34" i="139"/>
  <c r="G35" i="139"/>
  <c r="G27" i="139"/>
  <c r="G32" i="139"/>
  <c r="F28" i="139"/>
  <c r="F27" i="139"/>
  <c r="L20" i="136"/>
  <c r="L32" i="136" s="1"/>
  <c r="D38" i="136" s="1"/>
  <c r="O20" i="136"/>
  <c r="M20" i="136"/>
  <c r="M32" i="136" s="1"/>
  <c r="D39" i="136" s="1"/>
  <c r="D52" i="136" s="1"/>
  <c r="K20" i="136"/>
  <c r="K32" i="136" s="1"/>
  <c r="D37" i="136" s="1"/>
  <c r="O32" i="136"/>
  <c r="D41" i="136" s="1"/>
  <c r="N20" i="136"/>
  <c r="N32" i="136" s="1"/>
  <c r="D40" i="136" s="1"/>
  <c r="N7" i="139"/>
  <c r="K8" i="138"/>
  <c r="L8" i="138" s="1"/>
  <c r="K9" i="138"/>
  <c r="L9" i="138" s="1"/>
  <c r="K10" i="138"/>
  <c r="L10" i="138" s="1"/>
  <c r="K11" i="138"/>
  <c r="L11" i="138" s="1"/>
  <c r="K12" i="138"/>
  <c r="L12" i="138" s="1"/>
  <c r="K13" i="138"/>
  <c r="L13" i="138" s="1"/>
  <c r="K14" i="138"/>
  <c r="L14" i="138" s="1"/>
  <c r="K7" i="138"/>
  <c r="L7" i="138" s="1"/>
  <c r="K28" i="140"/>
  <c r="F34" i="139" l="1"/>
  <c r="F37" i="139"/>
  <c r="F29" i="139"/>
  <c r="G52" i="140"/>
  <c r="D52" i="140"/>
  <c r="H52" i="140"/>
  <c r="F26" i="139"/>
  <c r="E52" i="140"/>
  <c r="F31" i="139"/>
  <c r="I52" i="140"/>
  <c r="G37" i="139"/>
  <c r="G36" i="139" s="1"/>
  <c r="F35" i="139"/>
  <c r="F33" i="139" s="1"/>
  <c r="G28" i="139"/>
  <c r="G38" i="139"/>
  <c r="F30" i="139"/>
  <c r="F32" i="139"/>
  <c r="G25" i="139"/>
  <c r="G26" i="139"/>
  <c r="F38" i="139"/>
  <c r="F23" i="139"/>
  <c r="G29" i="139"/>
  <c r="G31" i="139"/>
  <c r="G30" i="139"/>
  <c r="E49" i="140"/>
  <c r="H11" i="139" s="1"/>
  <c r="F42" i="140"/>
  <c r="D51" i="140"/>
  <c r="E44" i="140"/>
  <c r="F43" i="140"/>
  <c r="E50" i="140"/>
  <c r="E38" i="136"/>
  <c r="D51" i="136"/>
  <c r="F17" i="139" s="1"/>
  <c r="D54" i="136"/>
  <c r="F21" i="139" s="1"/>
  <c r="E41" i="136"/>
  <c r="D53" i="136"/>
  <c r="F20" i="139" s="1"/>
  <c r="E40" i="136"/>
  <c r="F18" i="139"/>
  <c r="E39" i="136"/>
  <c r="E52" i="136" s="1"/>
  <c r="E37" i="136"/>
  <c r="D50" i="136"/>
  <c r="F15" i="139" s="1"/>
  <c r="F14" i="139" s="1"/>
  <c r="G33" i="139"/>
  <c r="L15" i="138"/>
  <c r="L17" i="138" s="1"/>
  <c r="F24" i="139" l="1"/>
  <c r="F22" i="139" s="1"/>
  <c r="G24" i="139"/>
  <c r="G22" i="139" s="1"/>
  <c r="F44" i="140"/>
  <c r="E51" i="140"/>
  <c r="G42" i="140"/>
  <c r="F49" i="140"/>
  <c r="I11" i="139" s="1"/>
  <c r="G43" i="140"/>
  <c r="F50" i="140"/>
  <c r="H23" i="139"/>
  <c r="H35" i="139"/>
  <c r="H32" i="139"/>
  <c r="H26" i="139"/>
  <c r="H27" i="139"/>
  <c r="H29" i="139"/>
  <c r="H30" i="139"/>
  <c r="H31" i="139"/>
  <c r="H37" i="139"/>
  <c r="H25" i="139"/>
  <c r="H38" i="139"/>
  <c r="H28" i="139"/>
  <c r="H34" i="139"/>
  <c r="F16" i="139"/>
  <c r="F40" i="136"/>
  <c r="E53" i="136"/>
  <c r="G20" i="139" s="1"/>
  <c r="F39" i="136"/>
  <c r="F52" i="136" s="1"/>
  <c r="G18" i="139"/>
  <c r="E54" i="136"/>
  <c r="G21" i="139" s="1"/>
  <c r="F41" i="136"/>
  <c r="F37" i="136"/>
  <c r="E50" i="136"/>
  <c r="G15" i="139" s="1"/>
  <c r="G14" i="139" s="1"/>
  <c r="F38" i="136"/>
  <c r="E51" i="136"/>
  <c r="G17" i="139" s="1"/>
  <c r="C21" i="138"/>
  <c r="C25" i="138" s="1"/>
  <c r="F13" i="139" s="1"/>
  <c r="H24" i="139" l="1"/>
  <c r="H22" i="139" s="1"/>
  <c r="F12" i="139"/>
  <c r="H33" i="139"/>
  <c r="H43" i="140"/>
  <c r="G50" i="140"/>
  <c r="H36" i="139"/>
  <c r="I32" i="139"/>
  <c r="I26" i="139"/>
  <c r="I35" i="139"/>
  <c r="I23" i="139"/>
  <c r="I29" i="139"/>
  <c r="I30" i="139"/>
  <c r="I27" i="139"/>
  <c r="I37" i="139"/>
  <c r="I25" i="139"/>
  <c r="I31" i="139"/>
  <c r="I28" i="139"/>
  <c r="I34" i="139"/>
  <c r="I38" i="139"/>
  <c r="G49" i="140"/>
  <c r="J11" i="139" s="1"/>
  <c r="H42" i="140"/>
  <c r="G44" i="140"/>
  <c r="F51" i="140"/>
  <c r="G16" i="139"/>
  <c r="F54" i="136"/>
  <c r="H21" i="139" s="1"/>
  <c r="G41" i="136"/>
  <c r="G37" i="136"/>
  <c r="F50" i="136"/>
  <c r="H15" i="139" s="1"/>
  <c r="H14" i="139" s="1"/>
  <c r="G39" i="136"/>
  <c r="G52" i="136" s="1"/>
  <c r="H18" i="139"/>
  <c r="G38" i="136"/>
  <c r="F51" i="136"/>
  <c r="H17" i="139" s="1"/>
  <c r="G40" i="136"/>
  <c r="F53" i="136"/>
  <c r="H20" i="139" s="1"/>
  <c r="D21" i="138"/>
  <c r="D25" i="138" s="1"/>
  <c r="G13" i="139" s="1"/>
  <c r="I24" i="139" l="1"/>
  <c r="I22" i="139" s="1"/>
  <c r="I33" i="139"/>
  <c r="I42" i="140"/>
  <c r="H49" i="140"/>
  <c r="K11" i="139" s="1"/>
  <c r="G12" i="139"/>
  <c r="J23" i="139"/>
  <c r="J37" i="139"/>
  <c r="J25" i="139"/>
  <c r="J31" i="139"/>
  <c r="J34" i="139"/>
  <c r="J38" i="139"/>
  <c r="J28" i="139"/>
  <c r="J26" i="139"/>
  <c r="J35" i="139"/>
  <c r="J32" i="139"/>
  <c r="J29" i="139"/>
  <c r="J30" i="139"/>
  <c r="J27" i="139"/>
  <c r="I43" i="140"/>
  <c r="H50" i="140"/>
  <c r="H44" i="140"/>
  <c r="G51" i="140"/>
  <c r="I36" i="139"/>
  <c r="H16" i="139"/>
  <c r="H12" i="139" s="1"/>
  <c r="H39" i="139" s="1"/>
  <c r="H40" i="139" s="1"/>
  <c r="H40" i="136"/>
  <c r="G53" i="136"/>
  <c r="I20" i="139" s="1"/>
  <c r="H39" i="136"/>
  <c r="H52" i="136" s="1"/>
  <c r="I18" i="139"/>
  <c r="H41" i="136"/>
  <c r="G54" i="136"/>
  <c r="I21" i="139" s="1"/>
  <c r="H38" i="136"/>
  <c r="G51" i="136"/>
  <c r="I17" i="139" s="1"/>
  <c r="H37" i="136"/>
  <c r="G50" i="136"/>
  <c r="I15" i="139" s="1"/>
  <c r="I14" i="139" s="1"/>
  <c r="E21" i="138"/>
  <c r="E25" i="138" s="1"/>
  <c r="H13" i="139" s="1"/>
  <c r="J43" i="140" l="1"/>
  <c r="J50" i="140" s="1"/>
  <c r="I50" i="140"/>
  <c r="J24" i="139"/>
  <c r="J22" i="139" s="1"/>
  <c r="K23" i="139"/>
  <c r="K34" i="139"/>
  <c r="K38" i="139"/>
  <c r="K28" i="139"/>
  <c r="K26" i="139"/>
  <c r="K35" i="139"/>
  <c r="K32" i="139"/>
  <c r="K30" i="139"/>
  <c r="K27" i="139"/>
  <c r="K29" i="139"/>
  <c r="K37" i="139"/>
  <c r="K36" i="139" s="1"/>
  <c r="K25" i="139"/>
  <c r="K31" i="139"/>
  <c r="J36" i="139"/>
  <c r="J42" i="140"/>
  <c r="J49" i="140" s="1"/>
  <c r="M11" i="139" s="1"/>
  <c r="I49" i="140"/>
  <c r="L11" i="139" s="1"/>
  <c r="I44" i="140"/>
  <c r="H51" i="140"/>
  <c r="J33" i="139"/>
  <c r="G39" i="139"/>
  <c r="G40" i="139" s="1"/>
  <c r="I38" i="136"/>
  <c r="H51" i="136"/>
  <c r="J17" i="139" s="1"/>
  <c r="I39" i="136"/>
  <c r="I52" i="136" s="1"/>
  <c r="J18" i="139"/>
  <c r="I37" i="136"/>
  <c r="H50" i="136"/>
  <c r="J15" i="139" s="1"/>
  <c r="J14" i="139" s="1"/>
  <c r="I41" i="136"/>
  <c r="H54" i="136"/>
  <c r="J21" i="139" s="1"/>
  <c r="I40" i="136"/>
  <c r="H53" i="136"/>
  <c r="J20" i="139" s="1"/>
  <c r="I16" i="139"/>
  <c r="F21" i="138"/>
  <c r="F25" i="138" s="1"/>
  <c r="I13" i="139" s="1"/>
  <c r="L23" i="139" l="1"/>
  <c r="L35" i="139"/>
  <c r="L32" i="139"/>
  <c r="L26" i="139"/>
  <c r="L27" i="139"/>
  <c r="L29" i="139"/>
  <c r="L30" i="139"/>
  <c r="L31" i="139"/>
  <c r="L37" i="139"/>
  <c r="L25" i="139"/>
  <c r="L38" i="139"/>
  <c r="L28" i="139"/>
  <c r="L34" i="139"/>
  <c r="M32" i="139"/>
  <c r="M26" i="139"/>
  <c r="M35" i="139"/>
  <c r="M29" i="139"/>
  <c r="M30" i="139"/>
  <c r="M27" i="139"/>
  <c r="M37" i="139"/>
  <c r="M25" i="139"/>
  <c r="M31" i="139"/>
  <c r="M28" i="139"/>
  <c r="M34" i="139"/>
  <c r="M38" i="139"/>
  <c r="M23" i="139"/>
  <c r="K24" i="139"/>
  <c r="K22" i="139" s="1"/>
  <c r="I12" i="139"/>
  <c r="J44" i="140"/>
  <c r="J51" i="140" s="1"/>
  <c r="I51" i="140"/>
  <c r="N11" i="139"/>
  <c r="K33" i="139"/>
  <c r="J41" i="136"/>
  <c r="I54" i="136"/>
  <c r="K21" i="139" s="1"/>
  <c r="J39" i="136"/>
  <c r="J52" i="136" s="1"/>
  <c r="K18" i="139"/>
  <c r="J40" i="136"/>
  <c r="I53" i="136"/>
  <c r="K20" i="139" s="1"/>
  <c r="J37" i="136"/>
  <c r="I50" i="136"/>
  <c r="K15" i="139" s="1"/>
  <c r="K14" i="139" s="1"/>
  <c r="J38" i="136"/>
  <c r="I51" i="136"/>
  <c r="K17" i="139" s="1"/>
  <c r="J16" i="139"/>
  <c r="G21" i="138"/>
  <c r="G25" i="138" s="1"/>
  <c r="J13" i="139" s="1"/>
  <c r="M33" i="139" l="1"/>
  <c r="M24" i="139"/>
  <c r="M22" i="139" s="1"/>
  <c r="L33" i="139"/>
  <c r="L36" i="139"/>
  <c r="J12" i="139"/>
  <c r="J39" i="139" s="1"/>
  <c r="J40" i="139" s="1"/>
  <c r="L24" i="139"/>
  <c r="L22" i="139" s="1"/>
  <c r="I39" i="139"/>
  <c r="I40" i="139" s="1"/>
  <c r="M36" i="139"/>
  <c r="K16" i="139"/>
  <c r="K37" i="136"/>
  <c r="K50" i="136" s="1"/>
  <c r="M15" i="139" s="1"/>
  <c r="M14" i="139" s="1"/>
  <c r="J50" i="136"/>
  <c r="L15" i="139" s="1"/>
  <c r="L14" i="139" s="1"/>
  <c r="K39" i="136"/>
  <c r="L18" i="139"/>
  <c r="K38" i="136"/>
  <c r="K51" i="136" s="1"/>
  <c r="M17" i="139" s="1"/>
  <c r="J51" i="136"/>
  <c r="L17" i="139" s="1"/>
  <c r="K40" i="136"/>
  <c r="K53" i="136" s="1"/>
  <c r="M20" i="139" s="1"/>
  <c r="J53" i="136"/>
  <c r="L20" i="139" s="1"/>
  <c r="K41" i="136"/>
  <c r="K54" i="136" s="1"/>
  <c r="M21" i="139" s="1"/>
  <c r="J54" i="136"/>
  <c r="L21" i="139" s="1"/>
  <c r="H21" i="138"/>
  <c r="H25" i="138" s="1"/>
  <c r="K13" i="139" s="1"/>
  <c r="N22" i="139" l="1"/>
  <c r="N33" i="139"/>
  <c r="N14" i="139"/>
  <c r="K12" i="139"/>
  <c r="K52" i="136"/>
  <c r="M18" i="139" s="1"/>
  <c r="M16" i="139" s="1"/>
  <c r="L16" i="139"/>
  <c r="I21" i="138"/>
  <c r="I25" i="138" s="1"/>
  <c r="L13" i="139" s="1"/>
  <c r="N16" i="139" l="1"/>
  <c r="L12" i="139"/>
  <c r="L39" i="139" s="1"/>
  <c r="L40" i="139" s="1"/>
  <c r="K39" i="139"/>
  <c r="K40" i="139" s="1"/>
  <c r="J21" i="138"/>
  <c r="J25" i="138" s="1"/>
  <c r="M13" i="139" s="1"/>
  <c r="N13" i="139" s="1"/>
  <c r="F36" i="139"/>
  <c r="F39" i="139" l="1"/>
  <c r="N36" i="139"/>
  <c r="M12" i="139"/>
  <c r="M39" i="139" l="1"/>
  <c r="M40" i="139" s="1"/>
  <c r="N12" i="139"/>
  <c r="F40" i="139"/>
  <c r="N39" i="139" l="1"/>
  <c r="N40" i="13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C6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참조하는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BOM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품번</t>
        </r>
      </text>
    </comment>
  </commentList>
</comments>
</file>

<file path=xl/sharedStrings.xml><?xml version="1.0" encoding="utf-8"?>
<sst xmlns="http://schemas.openxmlformats.org/spreadsheetml/2006/main" count="543" uniqueCount="293">
  <si>
    <t>…</t>
  </si>
  <si>
    <t xml:space="preserve">견적원가 Code 생성 </t>
  </si>
  <si>
    <t xml:space="preserve">원가 </t>
  </si>
  <si>
    <t xml:space="preserve">인원/투자비 산정 </t>
  </si>
  <si>
    <t xml:space="preserve">G10 </t>
  </si>
  <si>
    <t xml:space="preserve">G20 </t>
  </si>
  <si>
    <t xml:space="preserve">G30 </t>
  </si>
  <si>
    <t xml:space="preserve">G40 </t>
  </si>
  <si>
    <t xml:space="preserve">G50 </t>
  </si>
  <si>
    <t xml:space="preserve">G60 </t>
  </si>
  <si>
    <t xml:space="preserve">G70 </t>
  </si>
  <si>
    <t xml:space="preserve">G80 </t>
  </si>
  <si>
    <t>견적표준일정</t>
  </si>
  <si>
    <t>목표표준일정</t>
  </si>
  <si>
    <t>제품군/세부제품 코드 Master</t>
  </si>
  <si>
    <t>국가 정보 Master</t>
  </si>
  <si>
    <t>법인 정보 Master</t>
  </si>
  <si>
    <t>공장 정보 Master</t>
  </si>
  <si>
    <t>수주탈락 사유 Master</t>
  </si>
  <si>
    <t>사용자 정보 Master</t>
  </si>
  <si>
    <t>환율정보 관리</t>
  </si>
  <si>
    <t>순번</t>
    <phoneticPr fontId="3" type="noConversion"/>
  </si>
  <si>
    <t>노무비</t>
  </si>
  <si>
    <t>경비</t>
  </si>
  <si>
    <t>감가상각비</t>
  </si>
  <si>
    <t>외주가공비</t>
  </si>
  <si>
    <t>수출비</t>
  </si>
  <si>
    <t>운반비</t>
  </si>
  <si>
    <t>기타경비</t>
  </si>
  <si>
    <t>금융비용</t>
  </si>
  <si>
    <t>YYYYMMDD</t>
  </si>
  <si>
    <t>설계</t>
    <phoneticPr fontId="2" type="noConversion"/>
  </si>
  <si>
    <t>순번</t>
    <phoneticPr fontId="2" type="noConversion"/>
  </si>
  <si>
    <t>기준정보 List</t>
    <phoneticPr fontId="2" type="noConversion"/>
  </si>
  <si>
    <t>Master / 기준 명</t>
    <phoneticPr fontId="2" type="noConversion"/>
  </si>
  <si>
    <t>담당</t>
    <phoneticPr fontId="2" type="noConversion"/>
  </si>
  <si>
    <t>Sheet</t>
    <phoneticPr fontId="2" type="noConversion"/>
  </si>
  <si>
    <t>버튼</t>
    <phoneticPr fontId="2" type="noConversion"/>
  </si>
  <si>
    <t>설명</t>
    <phoneticPr fontId="2" type="noConversion"/>
  </si>
  <si>
    <t>조회</t>
    <phoneticPr fontId="2" type="noConversion"/>
  </si>
  <si>
    <t>수정</t>
    <phoneticPr fontId="2" type="noConversion"/>
  </si>
  <si>
    <t>엑셀</t>
    <phoneticPr fontId="2" type="noConversion"/>
  </si>
  <si>
    <t xml:space="preserve">저장 </t>
    <phoneticPr fontId="2" type="noConversion"/>
  </si>
  <si>
    <t>닫기</t>
    <phoneticPr fontId="2" type="noConversion"/>
  </si>
  <si>
    <t>●</t>
    <phoneticPr fontId="2" type="noConversion"/>
  </si>
  <si>
    <t>OEM 정보 Master</t>
    <phoneticPr fontId="2" type="noConversion"/>
  </si>
  <si>
    <t>손익 계정 관리</t>
    <phoneticPr fontId="2" type="noConversion"/>
  </si>
  <si>
    <t>부서 Master</t>
    <phoneticPr fontId="2" type="noConversion"/>
  </si>
  <si>
    <t>KRW</t>
    <phoneticPr fontId="3" type="noConversion"/>
  </si>
  <si>
    <t>USD</t>
    <phoneticPr fontId="3" type="noConversion"/>
  </si>
  <si>
    <t>공장</t>
    <phoneticPr fontId="3" type="noConversion"/>
  </si>
  <si>
    <t>G20</t>
  </si>
  <si>
    <t>견적원가 산출 및 수익성 분석</t>
  </si>
  <si>
    <t>G60</t>
  </si>
  <si>
    <t>매출원가</t>
  </si>
  <si>
    <t>생산직접비</t>
  </si>
  <si>
    <t>인건비성경비</t>
  </si>
  <si>
    <t>판매관리비</t>
  </si>
  <si>
    <t>품질보증비</t>
  </si>
  <si>
    <t>광고선전비</t>
  </si>
  <si>
    <t>연구비</t>
  </si>
  <si>
    <t>자산비용</t>
  </si>
  <si>
    <t>인적비용(4대보험등)</t>
  </si>
  <si>
    <t>기타손익</t>
  </si>
  <si>
    <t>기타수익</t>
  </si>
  <si>
    <t>기타비용</t>
  </si>
  <si>
    <t>금융손익</t>
  </si>
  <si>
    <t>금융수익</t>
  </si>
  <si>
    <t>판관인건비</t>
  </si>
  <si>
    <t>판매비</t>
  </si>
  <si>
    <t>배병희</t>
    <phoneticPr fontId="2" type="noConversion"/>
  </si>
  <si>
    <t>원가관리</t>
    <phoneticPr fontId="2" type="noConversion"/>
  </si>
  <si>
    <t>***</t>
    <phoneticPr fontId="2" type="noConversion"/>
  </si>
  <si>
    <t>구매</t>
    <phoneticPr fontId="2" type="noConversion"/>
  </si>
  <si>
    <t>&amp;&amp;&amp;</t>
    <phoneticPr fontId="2" type="noConversion"/>
  </si>
  <si>
    <t>%%%</t>
    <phoneticPr fontId="2" type="noConversion"/>
  </si>
  <si>
    <t>설계원가</t>
    <phoneticPr fontId="2" type="noConversion"/>
  </si>
  <si>
    <t>생산라인 정보</t>
    <phoneticPr fontId="3" type="noConversion"/>
  </si>
  <si>
    <t>라인 코드</t>
    <phoneticPr fontId="3" type="noConversion"/>
  </si>
  <si>
    <t>라인 명</t>
    <phoneticPr fontId="3" type="noConversion"/>
  </si>
  <si>
    <t>C/T 당 원가</t>
    <phoneticPr fontId="2" type="noConversion"/>
  </si>
  <si>
    <t>노무비</t>
    <phoneticPr fontId="3" type="noConversion"/>
  </si>
  <si>
    <t>생산직접비</t>
    <phoneticPr fontId="3" type="noConversion"/>
  </si>
  <si>
    <t>인건비성경비</t>
    <phoneticPr fontId="3" type="noConversion"/>
  </si>
  <si>
    <t>기타경비</t>
    <phoneticPr fontId="3" type="noConversion"/>
  </si>
  <si>
    <t>투자금액</t>
    <phoneticPr fontId="2" type="noConversion"/>
  </si>
  <si>
    <t>내용연수</t>
    <phoneticPr fontId="2" type="noConversion"/>
  </si>
  <si>
    <t>취득연월</t>
    <phoneticPr fontId="2" type="noConversion"/>
  </si>
  <si>
    <t>환율 정보</t>
    <phoneticPr fontId="3" type="noConversion"/>
  </si>
  <si>
    <t>적용연도</t>
    <phoneticPr fontId="3" type="noConversion"/>
  </si>
  <si>
    <t>From 
통화</t>
    <phoneticPr fontId="3" type="noConversion"/>
  </si>
  <si>
    <t>To 
통화</t>
    <phoneticPr fontId="3" type="noConversion"/>
  </si>
  <si>
    <t>환율</t>
    <phoneticPr fontId="3" type="noConversion"/>
  </si>
  <si>
    <t>EUR</t>
    <phoneticPr fontId="2" type="noConversion"/>
  </si>
  <si>
    <t>KRW</t>
  </si>
  <si>
    <t>USD</t>
  </si>
  <si>
    <t>EUR</t>
  </si>
  <si>
    <t>JPY</t>
  </si>
  <si>
    <t>물가상승율/조달금리/임금인상율/재고일수</t>
    <phoneticPr fontId="2" type="noConversion"/>
  </si>
  <si>
    <t>생산 라인 정보</t>
    <phoneticPr fontId="2" type="noConversion"/>
  </si>
  <si>
    <t>사업실적 정보</t>
    <phoneticPr fontId="2" type="noConversion"/>
  </si>
  <si>
    <t>대리</t>
    <phoneticPr fontId="2" type="noConversion"/>
  </si>
  <si>
    <t>김지원</t>
    <phoneticPr fontId="2" type="noConversion"/>
  </si>
  <si>
    <t>기타판관비</t>
  </si>
  <si>
    <t>TCI</t>
    <phoneticPr fontId="2" type="noConversion"/>
  </si>
  <si>
    <t>참조제품</t>
    <phoneticPr fontId="2" type="noConversion"/>
  </si>
  <si>
    <t>신제품</t>
    <phoneticPr fontId="2" type="noConversion"/>
  </si>
  <si>
    <t>단가</t>
    <phoneticPr fontId="2" type="noConversion"/>
  </si>
  <si>
    <t>구분</t>
    <phoneticPr fontId="2" type="noConversion"/>
  </si>
  <si>
    <t>품번(Ref. 제품)</t>
    <phoneticPr fontId="2" type="noConversion"/>
  </si>
  <si>
    <t>품번</t>
    <phoneticPr fontId="2" type="noConversion"/>
  </si>
  <si>
    <t>품명</t>
    <phoneticPr fontId="2" type="noConversion"/>
  </si>
  <si>
    <t>수량</t>
    <phoneticPr fontId="2" type="noConversion"/>
  </si>
  <si>
    <t>통화</t>
    <phoneticPr fontId="2" type="noConversion"/>
  </si>
  <si>
    <t>계</t>
    <phoneticPr fontId="2" type="noConversion"/>
  </si>
  <si>
    <t>C/O</t>
    <phoneticPr fontId="2" type="noConversion"/>
  </si>
  <si>
    <t>가</t>
    <phoneticPr fontId="2" type="noConversion"/>
  </si>
  <si>
    <t>KRW</t>
    <phoneticPr fontId="2" type="noConversion"/>
  </si>
  <si>
    <t>나</t>
    <phoneticPr fontId="2" type="noConversion"/>
  </si>
  <si>
    <t>다</t>
    <phoneticPr fontId="2" type="noConversion"/>
  </si>
  <si>
    <t>라</t>
    <phoneticPr fontId="2" type="noConversion"/>
  </si>
  <si>
    <t>마</t>
    <phoneticPr fontId="2" type="noConversion"/>
  </si>
  <si>
    <t>신규</t>
    <phoneticPr fontId="2" type="noConversion"/>
  </si>
  <si>
    <t>바'</t>
    <phoneticPr fontId="2" type="noConversion"/>
  </si>
  <si>
    <t>12351b</t>
    <phoneticPr fontId="2" type="noConversion"/>
  </si>
  <si>
    <t>사'</t>
    <phoneticPr fontId="2" type="noConversion"/>
  </si>
  <si>
    <t>12352c</t>
    <phoneticPr fontId="2" type="noConversion"/>
  </si>
  <si>
    <t>아'</t>
    <phoneticPr fontId="2" type="noConversion"/>
  </si>
  <si>
    <t>총계</t>
    <phoneticPr fontId="2" type="noConversion"/>
  </si>
  <si>
    <t>합계</t>
    <phoneticPr fontId="2" type="noConversion"/>
  </si>
  <si>
    <t>HMC</t>
    <phoneticPr fontId="2" type="noConversion"/>
  </si>
  <si>
    <t>고객사</t>
    <phoneticPr fontId="2" type="noConversion"/>
  </si>
  <si>
    <t>견적 제출 통화</t>
    <phoneticPr fontId="2" type="noConversion"/>
  </si>
  <si>
    <t>기타</t>
    <phoneticPr fontId="2" type="noConversion"/>
  </si>
  <si>
    <t>RFQ 정보(및 영업 추정 자료)</t>
    <phoneticPr fontId="2" type="noConversion"/>
  </si>
  <si>
    <t>1. 기본 정보</t>
    <phoneticPr fontId="2" type="noConversion"/>
  </si>
  <si>
    <t>프로젝트 코드</t>
    <phoneticPr fontId="2" type="noConversion"/>
  </si>
  <si>
    <t>제품군</t>
    <phoneticPr fontId="2" type="noConversion"/>
  </si>
  <si>
    <t>제품</t>
    <phoneticPr fontId="2" type="noConversion"/>
  </si>
  <si>
    <t>차종</t>
    <phoneticPr fontId="2" type="noConversion"/>
  </si>
  <si>
    <t>RFQ 접수일</t>
    <phoneticPr fontId="2" type="noConversion"/>
  </si>
  <si>
    <t>견적 제출일</t>
    <phoneticPr fontId="2" type="noConversion"/>
  </si>
  <si>
    <t>납품처</t>
    <phoneticPr fontId="2" type="noConversion"/>
  </si>
  <si>
    <t>2. 견적 대상 정보</t>
    <phoneticPr fontId="2" type="noConversion"/>
  </si>
  <si>
    <t>프로젝트 코드(예시)</t>
    <phoneticPr fontId="2" type="noConversion"/>
  </si>
  <si>
    <t>견적원가코드(예시)</t>
    <phoneticPr fontId="2" type="noConversion"/>
  </si>
  <si>
    <t>합계</t>
    <phoneticPr fontId="2" type="noConversion"/>
  </si>
  <si>
    <t>TM</t>
    <phoneticPr fontId="2" type="noConversion"/>
  </si>
  <si>
    <t>AA</t>
    <phoneticPr fontId="2" type="noConversion"/>
  </si>
  <si>
    <t>TM 제품 AA 차종 1번 사양(국내 기본1사양)</t>
    <phoneticPr fontId="2" type="noConversion"/>
  </si>
  <si>
    <t>TM 제품 AA 차종 2번 사양(국내 기본2사양)</t>
    <phoneticPr fontId="2" type="noConversion"/>
  </si>
  <si>
    <t>TM 제품 AA 차종 3번 사양(국내 고급1사양</t>
    <phoneticPr fontId="2" type="noConversion"/>
  </si>
  <si>
    <t>TM 제품 AA 차종 4번 사양(국내 고급2사양)</t>
    <phoneticPr fontId="2" type="noConversion"/>
  </si>
  <si>
    <t>Targer Price</t>
    <phoneticPr fontId="2" type="noConversion"/>
  </si>
  <si>
    <t>Market Price</t>
    <phoneticPr fontId="2" type="noConversion"/>
  </si>
  <si>
    <t>SOP</t>
    <phoneticPr fontId="2" type="noConversion"/>
  </si>
  <si>
    <t>EOP</t>
    <phoneticPr fontId="2" type="noConversion"/>
  </si>
  <si>
    <t>3. 판가/수량 정보</t>
    <phoneticPr fontId="2" type="noConversion"/>
  </si>
  <si>
    <t>RFQ 수량</t>
    <phoneticPr fontId="2" type="noConversion"/>
  </si>
  <si>
    <t>1307-TM-E01</t>
    <phoneticPr fontId="2" type="noConversion"/>
  </si>
  <si>
    <t>신규여부 검증
(PIMS 기준)</t>
    <phoneticPr fontId="2" type="noConversion"/>
  </si>
  <si>
    <t>설계원가</t>
  </si>
  <si>
    <t>구매(or PIMS)</t>
    <phoneticPr fontId="2" type="noConversion"/>
  </si>
  <si>
    <t>원가코드</t>
    <phoneticPr fontId="2" type="noConversion"/>
  </si>
  <si>
    <t>재료비 loss율</t>
    <phoneticPr fontId="2" type="noConversion"/>
  </si>
  <si>
    <t>총 재료비</t>
    <phoneticPr fontId="2" type="noConversion"/>
  </si>
  <si>
    <t>세전이익률</t>
    <phoneticPr fontId="2" type="noConversion"/>
  </si>
  <si>
    <t>JPY</t>
    <phoneticPr fontId="2" type="noConversion"/>
  </si>
  <si>
    <t>사업실적 비율</t>
    <phoneticPr fontId="3" type="noConversion"/>
  </si>
  <si>
    <t>순번</t>
    <phoneticPr fontId="3" type="noConversion"/>
  </si>
  <si>
    <t>적용연도</t>
    <phoneticPr fontId="3" type="noConversion"/>
  </si>
  <si>
    <t>법인코드</t>
    <phoneticPr fontId="3" type="noConversion"/>
  </si>
  <si>
    <t>법인명</t>
    <phoneticPr fontId="2" type="noConversion"/>
  </si>
  <si>
    <t>다이모스</t>
    <phoneticPr fontId="2" type="noConversion"/>
  </si>
  <si>
    <t>기타판관비</t>
    <phoneticPr fontId="2" type="noConversion"/>
  </si>
  <si>
    <t>원가
CoA</t>
    <phoneticPr fontId="3" type="noConversion"/>
  </si>
  <si>
    <t>원가 CoA
계정명</t>
    <phoneticPr fontId="3" type="noConversion"/>
  </si>
  <si>
    <t>비율</t>
    <phoneticPr fontId="3" type="noConversion"/>
  </si>
  <si>
    <t>다이모스</t>
    <phoneticPr fontId="2" type="noConversion"/>
  </si>
  <si>
    <t>가공라인</t>
    <phoneticPr fontId="2" type="noConversion"/>
  </si>
  <si>
    <t>조립라인</t>
    <phoneticPr fontId="2" type="noConversion"/>
  </si>
  <si>
    <t>서산공장</t>
    <phoneticPr fontId="2" type="noConversion"/>
  </si>
  <si>
    <t>서산공장</t>
    <phoneticPr fontId="2" type="noConversion"/>
  </si>
  <si>
    <t>C/T</t>
    <phoneticPr fontId="2" type="noConversion"/>
  </si>
  <si>
    <t>총계</t>
    <phoneticPr fontId="2" type="noConversion"/>
  </si>
  <si>
    <t xml:space="preserve">영업 </t>
  </si>
  <si>
    <t>견적원가 대상 등록</t>
  </si>
  <si>
    <t>BOM(master list)작성</t>
  </si>
  <si>
    <t xml:space="preserve">설계 </t>
  </si>
  <si>
    <t>신규자재 설계원가 작성</t>
  </si>
  <si>
    <t>신규자재 구매추정가 작성</t>
  </si>
  <si>
    <t xml:space="preserve">구매 </t>
  </si>
  <si>
    <t>재료비 단가 검토</t>
  </si>
  <si>
    <t xml:space="preserve">생기 </t>
  </si>
  <si>
    <t>5. 견적 산출 일정</t>
    <phoneticPr fontId="2" type="noConversion"/>
  </si>
  <si>
    <t>4. 부서별 담당자</t>
    <phoneticPr fontId="2" type="noConversion"/>
  </si>
  <si>
    <t>이름</t>
    <phoneticPr fontId="2" type="noConversion"/>
  </si>
  <si>
    <t>직급</t>
    <phoneticPr fontId="2" type="noConversion"/>
  </si>
  <si>
    <t>차장</t>
    <phoneticPr fontId="2" type="noConversion"/>
  </si>
  <si>
    <t>Role</t>
    <phoneticPr fontId="2" type="noConversion"/>
  </si>
  <si>
    <t>영업</t>
    <phoneticPr fontId="2" type="noConversion"/>
  </si>
  <si>
    <t>부서구분</t>
    <phoneticPr fontId="2" type="noConversion"/>
  </si>
  <si>
    <t>원가관리팀</t>
    <phoneticPr fontId="2" type="noConversion"/>
  </si>
  <si>
    <t>소속</t>
    <phoneticPr fontId="2" type="noConversion"/>
  </si>
  <si>
    <t>변속기설계팀</t>
    <phoneticPr fontId="2" type="noConversion"/>
  </si>
  <si>
    <t>책임</t>
    <phoneticPr fontId="2" type="noConversion"/>
  </si>
  <si>
    <t>ㅌㅌㅌ</t>
    <phoneticPr fontId="2" type="noConversion"/>
  </si>
  <si>
    <t>선임</t>
    <phoneticPr fontId="2" type="noConversion"/>
  </si>
  <si>
    <t>PT설계원가팀</t>
    <phoneticPr fontId="2" type="noConversion"/>
  </si>
  <si>
    <t>$$$</t>
    <phoneticPr fontId="2" type="noConversion"/>
  </si>
  <si>
    <t>과장</t>
    <phoneticPr fontId="2" type="noConversion"/>
  </si>
  <si>
    <t>PT구매팀</t>
    <phoneticPr fontId="2" type="noConversion"/>
  </si>
  <si>
    <t>###</t>
    <phoneticPr fontId="2" type="noConversion"/>
  </si>
  <si>
    <t>QQQ</t>
    <phoneticPr fontId="2" type="noConversion"/>
  </si>
  <si>
    <t>PT영업팀</t>
    <phoneticPr fontId="2" type="noConversion"/>
  </si>
  <si>
    <t>WWW</t>
    <phoneticPr fontId="2" type="noConversion"/>
  </si>
  <si>
    <t>업무</t>
    <phoneticPr fontId="2" type="noConversion"/>
  </si>
  <si>
    <t>시작일</t>
    <phoneticPr fontId="2" type="noConversion"/>
  </si>
  <si>
    <t>종료일</t>
    <phoneticPr fontId="2" type="noConversion"/>
  </si>
  <si>
    <t>기간</t>
    <phoneticPr fontId="2" type="noConversion"/>
  </si>
  <si>
    <t>담당부서</t>
    <phoneticPr fontId="2" type="noConversion"/>
  </si>
  <si>
    <t>PL</t>
    <phoneticPr fontId="2" type="noConversion"/>
  </si>
  <si>
    <t>PM</t>
    <phoneticPr fontId="2" type="noConversion"/>
  </si>
  <si>
    <t>견적 단계</t>
    <phoneticPr fontId="3" type="noConversion"/>
  </si>
  <si>
    <t>순번</t>
    <phoneticPr fontId="3" type="noConversion"/>
  </si>
  <si>
    <t>Code</t>
    <phoneticPr fontId="3" type="noConversion"/>
  </si>
  <si>
    <t>표준 Task 명</t>
    <phoneticPr fontId="3" type="noConversion"/>
  </si>
  <si>
    <t>소요일</t>
    <phoneticPr fontId="3" type="noConversion"/>
  </si>
  <si>
    <t>주관부서</t>
    <phoneticPr fontId="3" type="noConversion"/>
  </si>
  <si>
    <t>선행업무</t>
    <phoneticPr fontId="3" type="noConversion"/>
  </si>
  <si>
    <t>변경자</t>
    <phoneticPr fontId="2" type="noConversion"/>
  </si>
  <si>
    <t>변경일</t>
    <phoneticPr fontId="3" type="noConversion"/>
  </si>
  <si>
    <t xml:space="preserve">영업 </t>
    <phoneticPr fontId="3" type="noConversion"/>
  </si>
  <si>
    <t>YYYYMMDD</t>
    <phoneticPr fontId="2" type="noConversion"/>
  </si>
  <si>
    <t>견적원가 대상 등록</t>
    <phoneticPr fontId="3" type="noConversion"/>
  </si>
  <si>
    <t>G10</t>
    <phoneticPr fontId="3" type="noConversion"/>
  </si>
  <si>
    <t>BOM(master list)작성</t>
    <phoneticPr fontId="3" type="noConversion"/>
  </si>
  <si>
    <t xml:space="preserve">설계 </t>
    <phoneticPr fontId="3" type="noConversion"/>
  </si>
  <si>
    <t>G20</t>
    <phoneticPr fontId="3" type="noConversion"/>
  </si>
  <si>
    <t>신규자재 설계원가 작성</t>
    <phoneticPr fontId="3" type="noConversion"/>
  </si>
  <si>
    <t>설계원가</t>
    <phoneticPr fontId="3" type="noConversion"/>
  </si>
  <si>
    <t>G30</t>
    <phoneticPr fontId="3" type="noConversion"/>
  </si>
  <si>
    <t>신규자재 구매추정가 작성</t>
    <phoneticPr fontId="3" type="noConversion"/>
  </si>
  <si>
    <t xml:space="preserve">구매 </t>
    <phoneticPr fontId="3" type="noConversion"/>
  </si>
  <si>
    <t>재료비 단가 검토</t>
    <phoneticPr fontId="3" type="noConversion"/>
  </si>
  <si>
    <t xml:space="preserve">원가 </t>
    <phoneticPr fontId="3" type="noConversion"/>
  </si>
  <si>
    <t>G40</t>
    <phoneticPr fontId="3" type="noConversion"/>
  </si>
  <si>
    <t xml:space="preserve">생기 </t>
    <phoneticPr fontId="3" type="noConversion"/>
  </si>
  <si>
    <t>노무비</t>
    <phoneticPr fontId="2" type="noConversion"/>
  </si>
  <si>
    <t>구분</t>
    <phoneticPr fontId="2" type="noConversion"/>
  </si>
  <si>
    <t>기존</t>
    <phoneticPr fontId="2" type="noConversion"/>
  </si>
  <si>
    <t>신규</t>
    <phoneticPr fontId="2" type="noConversion"/>
  </si>
  <si>
    <t>감가상각비</t>
    <phoneticPr fontId="3" type="noConversion"/>
  </si>
  <si>
    <t>처리 여부</t>
    <phoneticPr fontId="2" type="noConversion"/>
  </si>
  <si>
    <t>○</t>
    <phoneticPr fontId="2" type="noConversion"/>
  </si>
  <si>
    <t>●</t>
    <phoneticPr fontId="2" type="noConversion"/>
  </si>
  <si>
    <t>1. 기본 정보</t>
    <phoneticPr fontId="2" type="noConversion"/>
  </si>
  <si>
    <t>기준연도</t>
    <phoneticPr fontId="3" type="noConversion"/>
  </si>
  <si>
    <t>연도별 비율</t>
    <phoneticPr fontId="3" type="noConversion"/>
  </si>
  <si>
    <t>항목</t>
    <phoneticPr fontId="3" type="noConversion"/>
  </si>
  <si>
    <t>임금인상률</t>
    <phoneticPr fontId="2" type="noConversion"/>
  </si>
  <si>
    <t>물가상승률</t>
    <phoneticPr fontId="2" type="noConversion"/>
  </si>
  <si>
    <t>값</t>
    <phoneticPr fontId="3" type="noConversion"/>
  </si>
  <si>
    <t>기준연도
(실적연도)</t>
    <phoneticPr fontId="3" type="noConversion"/>
  </si>
  <si>
    <t>SOP</t>
    <phoneticPr fontId="2" type="noConversion"/>
  </si>
  <si>
    <t>신규 라인</t>
    <phoneticPr fontId="2" type="noConversion"/>
  </si>
  <si>
    <t>기존 라인</t>
    <phoneticPr fontId="2" type="noConversion"/>
  </si>
  <si>
    <t>제조원가 합계</t>
    <phoneticPr fontId="2" type="noConversion"/>
  </si>
  <si>
    <t>연간 예상 판가_대당</t>
    <phoneticPr fontId="2" type="noConversion"/>
  </si>
  <si>
    <t>연간 예상 판가_total</t>
    <phoneticPr fontId="2" type="noConversion"/>
  </si>
  <si>
    <t>노무비</t>
    <phoneticPr fontId="2" type="noConversion"/>
  </si>
  <si>
    <t>생산직접비</t>
    <phoneticPr fontId="2" type="noConversion"/>
  </si>
  <si>
    <t>감가상각비</t>
    <phoneticPr fontId="2" type="noConversion"/>
  </si>
  <si>
    <t>인건비성경비</t>
    <phoneticPr fontId="2" type="noConversion"/>
  </si>
  <si>
    <t>기타경비</t>
    <phoneticPr fontId="2" type="noConversion"/>
  </si>
  <si>
    <t>세전이익</t>
    <phoneticPr fontId="2" type="noConversion"/>
  </si>
  <si>
    <t>판가(견적기준가)</t>
    <phoneticPr fontId="2" type="noConversion"/>
  </si>
  <si>
    <t>손익계산서</t>
    <phoneticPr fontId="2" type="noConversion"/>
  </si>
  <si>
    <t>재료비</t>
    <phoneticPr fontId="2" type="noConversion"/>
  </si>
  <si>
    <t>연간 total C/T</t>
    <phoneticPr fontId="2" type="noConversion"/>
  </si>
  <si>
    <t>감가상각비(신규)</t>
    <phoneticPr fontId="2" type="noConversion"/>
  </si>
  <si>
    <t>감가상각비(기존)</t>
    <phoneticPr fontId="3" type="noConversion"/>
  </si>
  <si>
    <t>13007-TM-E01</t>
    <phoneticPr fontId="2" type="noConversion"/>
  </si>
  <si>
    <t>13007-TM-E02</t>
  </si>
  <si>
    <t>13007-TM-E03</t>
  </si>
  <si>
    <t>13007-TM-E04</t>
  </si>
  <si>
    <t>13007-TM-E01</t>
    <phoneticPr fontId="2" type="noConversion"/>
  </si>
  <si>
    <t>대당 예상 재료비(13007-TM-E01)</t>
    <phoneticPr fontId="2" type="noConversion"/>
  </si>
  <si>
    <t>연간 예상 재료비(13007-TM-E01)</t>
    <phoneticPr fontId="2" type="noConversion"/>
  </si>
  <si>
    <t>대당 예상 제조원가(13007-TM-E01)</t>
    <phoneticPr fontId="2" type="noConversion"/>
  </si>
  <si>
    <t>신규라인 연간 감가상각비(13007-TM-E01)</t>
    <phoneticPr fontId="2" type="noConversion"/>
  </si>
  <si>
    <t>연간 예상 제조원가(13007-TM-E01)</t>
    <phoneticPr fontId="2" type="noConversion"/>
  </si>
  <si>
    <t>USD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</si>
</sst>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2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b/>
      <sz val="2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theme="3"/>
      <name val="맑은 고딕"/>
      <family val="3"/>
      <charset val="129"/>
    </font>
    <font>
      <sz val="10"/>
      <color rgb="FFFF0000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</fills>
  <borders count="4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61">
    <xf numFmtId="0" fontId="0" fillId="0" borderId="0" xfId="0" applyAlignment="1">
      <alignment vertical="center"/>
    </xf>
    <xf numFmtId="0" fontId="4" fillId="0" borderId="1" xfId="1" applyFont="1" applyFill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2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3" xfId="0" applyFont="1" applyFill="1" applyBorder="1" applyAlignment="1">
      <alignment vertical="center"/>
    </xf>
    <xf numFmtId="0" fontId="7" fillId="0" borderId="4" xfId="0" applyFont="1" applyFill="1" applyBorder="1" applyAlignment="1">
      <alignment vertical="center"/>
    </xf>
    <xf numFmtId="0" fontId="5" fillId="0" borderId="0" xfId="1" applyFont="1" applyAlignment="1">
      <alignment horizontal="left" vertical="center"/>
    </xf>
    <xf numFmtId="0" fontId="6" fillId="0" borderId="2" xfId="3" applyFont="1" applyBorder="1" applyAlignment="1">
      <alignment horizontal="left" vertical="center" wrapText="1" indent="1"/>
    </xf>
    <xf numFmtId="0" fontId="6" fillId="0" borderId="2" xfId="2" applyFont="1" applyBorder="1" applyAlignment="1">
      <alignment horizontal="left" vertical="center" wrapText="1" indent="1"/>
    </xf>
    <xf numFmtId="0" fontId="7" fillId="0" borderId="0" xfId="0" applyFont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 wrapText="1"/>
    </xf>
    <xf numFmtId="0" fontId="4" fillId="0" borderId="5" xfId="1" applyFont="1" applyFill="1" applyBorder="1" applyAlignment="1">
      <alignment vertical="center"/>
    </xf>
    <xf numFmtId="0" fontId="4" fillId="0" borderId="1" xfId="1" applyFont="1" applyFill="1" applyBorder="1" applyAlignment="1">
      <alignment vertical="center"/>
    </xf>
    <xf numFmtId="0" fontId="4" fillId="0" borderId="8" xfId="1" applyFont="1" applyFill="1" applyBorder="1" applyAlignment="1">
      <alignment vertical="center"/>
    </xf>
    <xf numFmtId="0" fontId="5" fillId="0" borderId="8" xfId="1" applyFont="1" applyFill="1" applyBorder="1" applyAlignment="1">
      <alignment vertical="center"/>
    </xf>
    <xf numFmtId="0" fontId="9" fillId="0" borderId="2" xfId="1" applyFont="1" applyFill="1" applyBorder="1" applyAlignment="1">
      <alignment horizontal="center" vertical="center" wrapText="1"/>
    </xf>
    <xf numFmtId="0" fontId="6" fillId="0" borderId="8" xfId="3" applyFont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7" fillId="0" borderId="15" xfId="0" applyFont="1" applyFill="1" applyBorder="1" applyAlignment="1">
      <alignment vertical="center"/>
    </xf>
    <xf numFmtId="0" fontId="7" fillId="0" borderId="15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6" fillId="0" borderId="8" xfId="1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5" fillId="5" borderId="0" xfId="0" applyFont="1" applyFill="1" applyAlignment="1">
      <alignment horizontal="left" vertical="center"/>
    </xf>
    <xf numFmtId="0" fontId="5" fillId="5" borderId="0" xfId="0" applyFont="1" applyFill="1" applyAlignment="1">
      <alignment vertical="center"/>
    </xf>
    <xf numFmtId="0" fontId="13" fillId="5" borderId="0" xfId="0" applyFont="1" applyFill="1" applyAlignment="1">
      <alignment horizontal="left" vertical="center"/>
    </xf>
    <xf numFmtId="0" fontId="9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0" fontId="9" fillId="0" borderId="10" xfId="5" applyNumberFormat="1" applyFont="1" applyBorder="1" applyAlignment="1">
      <alignment vertical="center"/>
    </xf>
    <xf numFmtId="10" fontId="9" fillId="0" borderId="11" xfId="5" applyNumberFormat="1" applyFont="1" applyBorder="1" applyAlignment="1">
      <alignment vertical="center"/>
    </xf>
    <xf numFmtId="0" fontId="5" fillId="4" borderId="26" xfId="0" applyFont="1" applyFill="1" applyBorder="1" applyAlignment="1">
      <alignment horizontal="center" vertical="center"/>
    </xf>
    <xf numFmtId="0" fontId="7" fillId="6" borderId="27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28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0" fontId="17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176" fontId="9" fillId="0" borderId="2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9" fillId="0" borderId="2" xfId="0" applyFont="1" applyBorder="1" applyAlignment="1">
      <alignment vertical="center" wrapText="1"/>
    </xf>
    <xf numFmtId="41" fontId="9" fillId="0" borderId="2" xfId="4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9" fillId="7" borderId="2" xfId="0" applyFont="1" applyFill="1" applyBorder="1" applyAlignment="1">
      <alignment vertical="center"/>
    </xf>
    <xf numFmtId="176" fontId="5" fillId="0" borderId="2" xfId="0" applyNumberFormat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41" fontId="5" fillId="0" borderId="2" xfId="4" applyFont="1" applyBorder="1" applyAlignment="1">
      <alignment vertical="center"/>
    </xf>
    <xf numFmtId="0" fontId="18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0" fontId="17" fillId="3" borderId="2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vertical="center"/>
    </xf>
    <xf numFmtId="0" fontId="17" fillId="3" borderId="8" xfId="0" applyFont="1" applyFill="1" applyBorder="1" applyAlignment="1">
      <alignment vertical="center"/>
    </xf>
    <xf numFmtId="0" fontId="17" fillId="3" borderId="2" xfId="0" applyFont="1" applyFill="1" applyBorder="1" applyAlignment="1">
      <alignment horizontal="center" vertical="center"/>
    </xf>
    <xf numFmtId="41" fontId="17" fillId="3" borderId="0" xfId="0" applyNumberFormat="1" applyFont="1" applyFill="1" applyBorder="1" applyAlignment="1">
      <alignment horizontal="center" vertical="center"/>
    </xf>
    <xf numFmtId="9" fontId="17" fillId="3" borderId="0" xfId="0" applyNumberFormat="1" applyFont="1" applyFill="1" applyBorder="1" applyAlignment="1">
      <alignment horizontal="center" vertical="center"/>
    </xf>
    <xf numFmtId="0" fontId="17" fillId="3" borderId="30" xfId="0" applyFont="1" applyFill="1" applyBorder="1" applyAlignment="1">
      <alignment vertical="center"/>
    </xf>
    <xf numFmtId="0" fontId="17" fillId="3" borderId="31" xfId="0" applyFont="1" applyFill="1" applyBorder="1" applyAlignment="1">
      <alignment vertical="center"/>
    </xf>
    <xf numFmtId="0" fontId="17" fillId="3" borderId="32" xfId="0" applyFont="1" applyFill="1" applyBorder="1" applyAlignment="1">
      <alignment vertical="center"/>
    </xf>
    <xf numFmtId="0" fontId="17" fillId="3" borderId="33" xfId="0" applyFont="1" applyFill="1" applyBorder="1" applyAlignment="1">
      <alignment vertical="center"/>
    </xf>
    <xf numFmtId="0" fontId="17" fillId="3" borderId="5" xfId="0" applyFont="1" applyFill="1" applyBorder="1" applyAlignment="1">
      <alignment vertical="center"/>
    </xf>
    <xf numFmtId="0" fontId="17" fillId="3" borderId="34" xfId="0" applyFont="1" applyFill="1" applyBorder="1" applyAlignment="1">
      <alignment vertical="center"/>
    </xf>
    <xf numFmtId="0" fontId="17" fillId="3" borderId="0" xfId="0" applyFont="1" applyFill="1" applyBorder="1" applyAlignment="1">
      <alignment vertical="center"/>
    </xf>
    <xf numFmtId="0" fontId="17" fillId="3" borderId="35" xfId="0" applyFont="1" applyFill="1" applyBorder="1" applyAlignment="1">
      <alignment vertical="center"/>
    </xf>
    <xf numFmtId="0" fontId="17" fillId="3" borderId="36" xfId="0" applyFont="1" applyFill="1" applyBorder="1" applyAlignment="1">
      <alignment vertical="center"/>
    </xf>
    <xf numFmtId="41" fontId="17" fillId="3" borderId="36" xfId="4" applyFont="1" applyFill="1" applyBorder="1" applyAlignment="1">
      <alignment vertical="center"/>
    </xf>
    <xf numFmtId="0" fontId="17" fillId="3" borderId="37" xfId="0" applyFont="1" applyFill="1" applyBorder="1" applyAlignment="1">
      <alignment vertical="center"/>
    </xf>
    <xf numFmtId="0" fontId="17" fillId="3" borderId="7" xfId="0" applyFont="1" applyFill="1" applyBorder="1" applyAlignment="1">
      <alignment vertical="center"/>
    </xf>
    <xf numFmtId="0" fontId="17" fillId="3" borderId="38" xfId="0" applyFont="1" applyFill="1" applyBorder="1" applyAlignment="1">
      <alignment vertical="center"/>
    </xf>
    <xf numFmtId="0" fontId="17" fillId="3" borderId="20" xfId="0" applyFont="1" applyFill="1" applyBorder="1" applyAlignment="1">
      <alignment vertical="center"/>
    </xf>
    <xf numFmtId="0" fontId="17" fillId="3" borderId="39" xfId="0" applyFont="1" applyFill="1" applyBorder="1" applyAlignment="1">
      <alignment vertical="center"/>
    </xf>
    <xf numFmtId="0" fontId="17" fillId="3" borderId="22" xfId="0" applyFont="1" applyFill="1" applyBorder="1" applyAlignment="1">
      <alignment vertical="center"/>
    </xf>
    <xf numFmtId="0" fontId="17" fillId="3" borderId="40" xfId="0" applyFont="1" applyFill="1" applyBorder="1" applyAlignment="1">
      <alignment vertical="center"/>
    </xf>
    <xf numFmtId="9" fontId="17" fillId="3" borderId="2" xfId="5" applyFont="1" applyFill="1" applyBorder="1" applyAlignment="1">
      <alignment vertical="center"/>
    </xf>
    <xf numFmtId="41" fontId="17" fillId="3" borderId="2" xfId="0" applyNumberFormat="1" applyFont="1" applyFill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10" fontId="17" fillId="0" borderId="2" xfId="0" applyNumberFormat="1" applyFont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41" fontId="9" fillId="0" borderId="9" xfId="4" applyFont="1" applyBorder="1">
      <alignment vertical="center"/>
    </xf>
    <xf numFmtId="0" fontId="9" fillId="0" borderId="1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41" fontId="9" fillId="0" borderId="10" xfId="4" applyFont="1" applyBorder="1">
      <alignment vertical="center"/>
    </xf>
    <xf numFmtId="41" fontId="9" fillId="0" borderId="10" xfId="4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41" fontId="9" fillId="0" borderId="11" xfId="4" applyFont="1" applyBorder="1">
      <alignment vertical="center"/>
    </xf>
    <xf numFmtId="0" fontId="5" fillId="4" borderId="23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41" fontId="7" fillId="0" borderId="2" xfId="4" applyFon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41" fontId="7" fillId="0" borderId="0" xfId="4" applyFont="1" applyFill="1" applyBorder="1" applyAlignment="1">
      <alignment horizontal="center" vertical="center"/>
    </xf>
    <xf numFmtId="9" fontId="7" fillId="0" borderId="2" xfId="0" applyNumberFormat="1" applyFont="1" applyFill="1" applyBorder="1" applyAlignment="1">
      <alignment horizontal="center" vertical="center"/>
    </xf>
    <xf numFmtId="9" fontId="11" fillId="0" borderId="2" xfId="0" applyNumberFormat="1" applyFont="1" applyFill="1" applyBorder="1" applyAlignment="1">
      <alignment horizontal="center" vertical="center"/>
    </xf>
    <xf numFmtId="41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41" fontId="7" fillId="0" borderId="2" xfId="0" applyNumberFormat="1" applyFont="1" applyFill="1" applyBorder="1" applyAlignment="1">
      <alignment horizontal="center" vertical="center"/>
    </xf>
    <xf numFmtId="41" fontId="9" fillId="0" borderId="0" xfId="4" applyFont="1" applyBorder="1" applyAlignment="1">
      <alignment vertical="center"/>
    </xf>
    <xf numFmtId="9" fontId="9" fillId="0" borderId="2" xfId="4" applyNumberFormat="1" applyFont="1" applyBorder="1" applyAlignment="1">
      <alignment vertical="center"/>
    </xf>
    <xf numFmtId="9" fontId="9" fillId="0" borderId="0" xfId="4" applyNumberFormat="1" applyFont="1" applyBorder="1" applyAlignment="1">
      <alignment vertical="center"/>
    </xf>
    <xf numFmtId="176" fontId="17" fillId="3" borderId="8" xfId="0" applyNumberFormat="1" applyFont="1" applyFill="1" applyBorder="1" applyAlignment="1">
      <alignment vertical="center"/>
    </xf>
    <xf numFmtId="176" fontId="18" fillId="3" borderId="8" xfId="0" applyNumberFormat="1" applyFont="1" applyFill="1" applyBorder="1" applyAlignment="1">
      <alignment vertical="center"/>
    </xf>
    <xf numFmtId="0" fontId="18" fillId="3" borderId="6" xfId="0" applyFont="1" applyFill="1" applyBorder="1" applyAlignment="1">
      <alignment vertical="center"/>
    </xf>
    <xf numFmtId="0" fontId="18" fillId="3" borderId="19" xfId="0" applyFont="1" applyFill="1" applyBorder="1" applyAlignment="1">
      <alignment vertical="center"/>
    </xf>
    <xf numFmtId="0" fontId="18" fillId="3" borderId="21" xfId="0" applyFont="1" applyFill="1" applyBorder="1" applyAlignment="1">
      <alignment vertical="center"/>
    </xf>
    <xf numFmtId="0" fontId="18" fillId="3" borderId="5" xfId="0" applyFont="1" applyFill="1" applyBorder="1" applyAlignment="1">
      <alignment vertical="center"/>
    </xf>
    <xf numFmtId="0" fontId="18" fillId="3" borderId="1" xfId="0" applyFont="1" applyFill="1" applyBorder="1" applyAlignment="1">
      <alignment vertical="center"/>
    </xf>
    <xf numFmtId="0" fontId="18" fillId="3" borderId="8" xfId="0" applyFont="1" applyFill="1" applyBorder="1" applyAlignment="1">
      <alignment vertical="center"/>
    </xf>
    <xf numFmtId="0" fontId="9" fillId="8" borderId="2" xfId="0" applyFont="1" applyFill="1" applyBorder="1" applyAlignment="1">
      <alignment vertical="center"/>
    </xf>
    <xf numFmtId="176" fontId="9" fillId="8" borderId="2" xfId="0" applyNumberFormat="1" applyFont="1" applyFill="1" applyBorder="1" applyAlignment="1">
      <alignment vertical="center"/>
    </xf>
    <xf numFmtId="0" fontId="7" fillId="9" borderId="2" xfId="0" applyFont="1" applyFill="1" applyBorder="1" applyAlignment="1">
      <alignment horizontal="center" vertical="center"/>
    </xf>
    <xf numFmtId="41" fontId="7" fillId="9" borderId="2" xfId="4" applyFont="1" applyFill="1" applyBorder="1" applyAlignment="1">
      <alignment horizontal="center" vertical="center"/>
    </xf>
    <xf numFmtId="9" fontId="18" fillId="3" borderId="2" xfId="5" applyFont="1" applyFill="1" applyBorder="1" applyAlignment="1">
      <alignment vertical="center"/>
    </xf>
    <xf numFmtId="0" fontId="9" fillId="10" borderId="2" xfId="0" applyFont="1" applyFill="1" applyBorder="1" applyAlignment="1">
      <alignment vertical="center"/>
    </xf>
    <xf numFmtId="0" fontId="9" fillId="10" borderId="2" xfId="0" applyFont="1" applyFill="1" applyBorder="1" applyAlignment="1">
      <alignment horizontal="center" vertical="center"/>
    </xf>
    <xf numFmtId="0" fontId="6" fillId="0" borderId="7" xfId="1" applyFont="1" applyFill="1" applyBorder="1" applyAlignment="1">
      <alignment horizontal="center" vertical="center" wrapText="1"/>
    </xf>
    <xf numFmtId="0" fontId="6" fillId="0" borderId="20" xfId="1" applyFont="1" applyFill="1" applyBorder="1" applyAlignment="1">
      <alignment horizontal="center" vertical="center" wrapText="1"/>
    </xf>
    <xf numFmtId="0" fontId="9" fillId="0" borderId="7" xfId="1" applyFont="1" applyFill="1" applyBorder="1" applyAlignment="1">
      <alignment horizontal="center" vertical="center" wrapText="1"/>
    </xf>
    <xf numFmtId="0" fontId="9" fillId="0" borderId="20" xfId="1" applyFont="1" applyFill="1" applyBorder="1" applyAlignment="1">
      <alignment horizontal="center" vertical="center" wrapText="1"/>
    </xf>
    <xf numFmtId="0" fontId="6" fillId="0" borderId="6" xfId="1" applyFont="1" applyFill="1" applyBorder="1" applyAlignment="1">
      <alignment horizontal="center" vertical="center"/>
    </xf>
    <xf numFmtId="0" fontId="6" fillId="0" borderId="19" xfId="1" applyFont="1" applyFill="1" applyBorder="1" applyAlignment="1">
      <alignment horizontal="center" vertical="center"/>
    </xf>
    <xf numFmtId="0" fontId="6" fillId="0" borderId="21" xfId="1" applyFont="1" applyFill="1" applyBorder="1" applyAlignment="1">
      <alignment horizontal="center" vertical="center"/>
    </xf>
    <xf numFmtId="0" fontId="6" fillId="0" borderId="7" xfId="1" applyFont="1" applyFill="1" applyBorder="1" applyAlignment="1">
      <alignment horizontal="center" vertical="center"/>
    </xf>
    <xf numFmtId="0" fontId="6" fillId="0" borderId="20" xfId="1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10" borderId="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</cellXfs>
  <cellStyles count="6">
    <cellStyle name="_x000a_386grabber=M" xfId="1" xr:uid="{00000000-0005-0000-0000-000000000000}"/>
    <cellStyle name="백분율" xfId="5" builtinId="5"/>
    <cellStyle name="쉼표 [0]" xfId="4" builtinId="6"/>
    <cellStyle name="표준" xfId="0" builtinId="0"/>
    <cellStyle name="표준_Interface List(v1.0)_수익성분석(070612)" xfId="2" xr:uid="{00000000-0005-0000-0000-000004000000}"/>
    <cellStyle name="표준_Interface List(v1.0)_책임회계" xfId="3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showGridLines="0" zoomScaleNormal="100" zoomScaleSheetLayoutView="100" workbookViewId="0">
      <pane ySplit="3" topLeftCell="A4" activePane="bottomLeft" state="frozen"/>
      <selection activeCell="B23" sqref="B23"/>
      <selection pane="bottomLeft" activeCell="B13" sqref="B13"/>
    </sheetView>
  </sheetViews>
  <sheetFormatPr defaultColWidth="8.8984375" defaultRowHeight="17.399999999999999"/>
  <cols>
    <col min="1" max="1" width="5.19921875" style="2" customWidth="1"/>
    <col min="2" max="2" width="31.796875" style="10" customWidth="1"/>
    <col min="3" max="3" width="8.8984375" style="2"/>
    <col min="4" max="4" width="6.59765625" style="2" customWidth="1"/>
    <col min="5" max="9" width="7.3984375" style="6" hidden="1" customWidth="1"/>
    <col min="10" max="10" width="37.3984375" style="2" customWidth="1"/>
    <col min="11" max="16384" width="8.8984375" style="32"/>
  </cols>
  <sheetData>
    <row r="1" spans="1:10" ht="33">
      <c r="A1" s="17" t="s">
        <v>33</v>
      </c>
      <c r="B1" s="18"/>
      <c r="C1" s="19"/>
      <c r="D1" s="20"/>
      <c r="E1" s="1"/>
      <c r="F1" s="1"/>
      <c r="G1" s="1"/>
      <c r="H1" s="1"/>
      <c r="I1" s="1"/>
      <c r="J1" s="18"/>
    </row>
    <row r="2" spans="1:10" ht="13.5" customHeight="1">
      <c r="A2" s="141" t="s">
        <v>32</v>
      </c>
      <c r="B2" s="148" t="s">
        <v>34</v>
      </c>
      <c r="C2" s="141" t="s">
        <v>35</v>
      </c>
      <c r="D2" s="143" t="s">
        <v>36</v>
      </c>
      <c r="E2" s="145" t="s">
        <v>37</v>
      </c>
      <c r="F2" s="146"/>
      <c r="G2" s="146"/>
      <c r="H2" s="146"/>
      <c r="I2" s="147"/>
      <c r="J2" s="141" t="s">
        <v>38</v>
      </c>
    </row>
    <row r="3" spans="1:10">
      <c r="A3" s="142"/>
      <c r="B3" s="149"/>
      <c r="C3" s="142"/>
      <c r="D3" s="144"/>
      <c r="E3" s="3" t="s">
        <v>39</v>
      </c>
      <c r="F3" s="36" t="s">
        <v>40</v>
      </c>
      <c r="G3" s="36" t="s">
        <v>41</v>
      </c>
      <c r="H3" s="36" t="s">
        <v>42</v>
      </c>
      <c r="I3" s="36" t="s">
        <v>43</v>
      </c>
      <c r="J3" s="142"/>
    </row>
    <row r="4" spans="1:10" ht="12.9" customHeight="1">
      <c r="A4" s="3">
        <v>1</v>
      </c>
      <c r="B4" s="11" t="s">
        <v>14</v>
      </c>
      <c r="C4" s="5"/>
      <c r="D4" s="21">
        <v>1</v>
      </c>
      <c r="E4" s="22" t="s">
        <v>44</v>
      </c>
      <c r="F4" s="22" t="s">
        <v>44</v>
      </c>
      <c r="G4" s="22" t="s">
        <v>44</v>
      </c>
      <c r="H4" s="22" t="s">
        <v>44</v>
      </c>
      <c r="I4" s="22" t="s">
        <v>44</v>
      </c>
      <c r="J4" s="16"/>
    </row>
    <row r="5" spans="1:10" ht="12.9" customHeight="1">
      <c r="A5" s="3">
        <v>2</v>
      </c>
      <c r="B5" s="12" t="s">
        <v>45</v>
      </c>
      <c r="C5" s="5"/>
      <c r="D5" s="21">
        <v>2</v>
      </c>
      <c r="E5" s="22" t="s">
        <v>44</v>
      </c>
      <c r="F5" s="22" t="s">
        <v>44</v>
      </c>
      <c r="G5" s="22" t="s">
        <v>44</v>
      </c>
      <c r="H5" s="22" t="s">
        <v>44</v>
      </c>
      <c r="I5" s="22" t="s">
        <v>44</v>
      </c>
      <c r="J5" s="16"/>
    </row>
    <row r="6" spans="1:10" ht="12.9" customHeight="1">
      <c r="A6" s="3">
        <v>3</v>
      </c>
      <c r="B6" s="12" t="s">
        <v>15</v>
      </c>
      <c r="C6" s="5"/>
      <c r="D6" s="21">
        <v>2</v>
      </c>
      <c r="E6" s="22" t="s">
        <v>44</v>
      </c>
      <c r="F6" s="22" t="s">
        <v>44</v>
      </c>
      <c r="G6" s="22" t="s">
        <v>44</v>
      </c>
      <c r="H6" s="22" t="s">
        <v>44</v>
      </c>
      <c r="I6" s="22" t="s">
        <v>44</v>
      </c>
      <c r="J6" s="16"/>
    </row>
    <row r="7" spans="1:10" ht="12.9" customHeight="1">
      <c r="A7" s="3">
        <v>4</v>
      </c>
      <c r="B7" s="12" t="s">
        <v>16</v>
      </c>
      <c r="C7" s="5"/>
      <c r="D7" s="21">
        <v>2</v>
      </c>
      <c r="E7" s="22" t="s">
        <v>44</v>
      </c>
      <c r="F7" s="22" t="s">
        <v>44</v>
      </c>
      <c r="G7" s="22" t="s">
        <v>44</v>
      </c>
      <c r="H7" s="22" t="s">
        <v>44</v>
      </c>
      <c r="I7" s="22" t="s">
        <v>44</v>
      </c>
      <c r="J7" s="16"/>
    </row>
    <row r="8" spans="1:10" ht="12.9" customHeight="1">
      <c r="A8" s="3">
        <v>5</v>
      </c>
      <c r="B8" s="12" t="s">
        <v>17</v>
      </c>
      <c r="C8" s="5"/>
      <c r="D8" s="21">
        <v>2</v>
      </c>
      <c r="E8" s="22" t="s">
        <v>44</v>
      </c>
      <c r="F8" s="22" t="s">
        <v>44</v>
      </c>
      <c r="G8" s="22" t="s">
        <v>44</v>
      </c>
      <c r="H8" s="22" t="s">
        <v>44</v>
      </c>
      <c r="I8" s="22" t="s">
        <v>44</v>
      </c>
      <c r="J8" s="16"/>
    </row>
    <row r="9" spans="1:10" ht="12.9" customHeight="1">
      <c r="A9" s="3">
        <v>6</v>
      </c>
      <c r="B9" s="11" t="s">
        <v>18</v>
      </c>
      <c r="C9" s="5"/>
      <c r="D9" s="21">
        <v>3</v>
      </c>
      <c r="E9" s="22" t="s">
        <v>44</v>
      </c>
      <c r="F9" s="22" t="s">
        <v>44</v>
      </c>
      <c r="G9" s="22" t="s">
        <v>44</v>
      </c>
      <c r="H9" s="22" t="s">
        <v>44</v>
      </c>
      <c r="I9" s="22" t="s">
        <v>44</v>
      </c>
      <c r="J9" s="4"/>
    </row>
    <row r="10" spans="1:10" ht="12.9" customHeight="1">
      <c r="A10" s="3">
        <v>7</v>
      </c>
      <c r="B10" s="12" t="s">
        <v>12</v>
      </c>
      <c r="C10" s="5"/>
      <c r="D10" s="21">
        <v>4</v>
      </c>
      <c r="E10" s="22" t="s">
        <v>44</v>
      </c>
      <c r="F10" s="22" t="s">
        <v>44</v>
      </c>
      <c r="G10" s="22" t="s">
        <v>44</v>
      </c>
      <c r="H10" s="22" t="s">
        <v>44</v>
      </c>
      <c r="I10" s="22" t="s">
        <v>44</v>
      </c>
      <c r="J10" s="4"/>
    </row>
    <row r="11" spans="1:10" ht="12.9" customHeight="1">
      <c r="A11" s="3">
        <v>8</v>
      </c>
      <c r="B11" s="12" t="s">
        <v>13</v>
      </c>
      <c r="C11" s="5"/>
      <c r="D11" s="21">
        <v>4</v>
      </c>
      <c r="E11" s="22" t="s">
        <v>44</v>
      </c>
      <c r="F11" s="22" t="s">
        <v>44</v>
      </c>
      <c r="G11" s="22" t="s">
        <v>44</v>
      </c>
      <c r="H11" s="22" t="s">
        <v>44</v>
      </c>
      <c r="I11" s="22" t="s">
        <v>44</v>
      </c>
      <c r="J11" s="4"/>
    </row>
    <row r="12" spans="1:10" ht="12.9" customHeight="1">
      <c r="A12" s="3">
        <v>9</v>
      </c>
      <c r="B12" s="12" t="s">
        <v>46</v>
      </c>
      <c r="C12" s="5"/>
      <c r="D12" s="21">
        <v>5</v>
      </c>
      <c r="E12" s="22" t="s">
        <v>44</v>
      </c>
      <c r="F12" s="22" t="s">
        <v>44</v>
      </c>
      <c r="G12" s="22" t="s">
        <v>44</v>
      </c>
      <c r="H12" s="22" t="s">
        <v>44</v>
      </c>
      <c r="I12" s="22" t="s">
        <v>44</v>
      </c>
      <c r="J12" s="4"/>
    </row>
    <row r="13" spans="1:10" ht="12.9" customHeight="1">
      <c r="A13" s="3">
        <v>10</v>
      </c>
      <c r="B13" s="12" t="s">
        <v>47</v>
      </c>
      <c r="C13" s="5"/>
      <c r="D13" s="21">
        <v>6</v>
      </c>
      <c r="E13" s="22" t="s">
        <v>44</v>
      </c>
      <c r="F13" s="22" t="s">
        <v>44</v>
      </c>
      <c r="G13" s="22" t="s">
        <v>44</v>
      </c>
      <c r="H13" s="22" t="s">
        <v>44</v>
      </c>
      <c r="I13" s="22" t="s">
        <v>44</v>
      </c>
      <c r="J13" s="4"/>
    </row>
    <row r="14" spans="1:10" ht="12.9" customHeight="1">
      <c r="A14" s="3">
        <v>11</v>
      </c>
      <c r="B14" s="12" t="s">
        <v>19</v>
      </c>
      <c r="C14" s="5"/>
      <c r="D14" s="21">
        <v>6</v>
      </c>
      <c r="E14" s="22" t="s">
        <v>44</v>
      </c>
      <c r="F14" s="22" t="s">
        <v>44</v>
      </c>
      <c r="G14" s="22" t="s">
        <v>44</v>
      </c>
      <c r="H14" s="22" t="s">
        <v>44</v>
      </c>
      <c r="I14" s="22" t="s">
        <v>44</v>
      </c>
      <c r="J14" s="4"/>
    </row>
    <row r="15" spans="1:10" ht="12.9" customHeight="1">
      <c r="A15" s="3">
        <v>12</v>
      </c>
      <c r="B15" s="12" t="s">
        <v>99</v>
      </c>
      <c r="C15" s="5"/>
      <c r="D15" s="21">
        <v>7</v>
      </c>
      <c r="E15" s="22" t="s">
        <v>44</v>
      </c>
      <c r="F15" s="22" t="s">
        <v>44</v>
      </c>
      <c r="G15" s="22" t="s">
        <v>44</v>
      </c>
      <c r="H15" s="22" t="s">
        <v>44</v>
      </c>
      <c r="I15" s="22" t="s">
        <v>44</v>
      </c>
      <c r="J15" s="4"/>
    </row>
    <row r="16" spans="1:10" ht="12.9" customHeight="1">
      <c r="A16" s="3">
        <v>13</v>
      </c>
      <c r="B16" s="12" t="s">
        <v>20</v>
      </c>
      <c r="C16" s="5"/>
      <c r="D16" s="21">
        <v>7</v>
      </c>
      <c r="E16" s="22" t="s">
        <v>44</v>
      </c>
      <c r="F16" s="22" t="s">
        <v>44</v>
      </c>
      <c r="G16" s="22" t="s">
        <v>44</v>
      </c>
      <c r="H16" s="22" t="s">
        <v>44</v>
      </c>
      <c r="I16" s="22" t="s">
        <v>44</v>
      </c>
      <c r="J16" s="4"/>
    </row>
    <row r="17" spans="1:10" ht="12.9" customHeight="1">
      <c r="A17" s="3">
        <v>14</v>
      </c>
      <c r="B17" s="12" t="s">
        <v>98</v>
      </c>
      <c r="C17" s="5"/>
      <c r="D17" s="21">
        <v>7</v>
      </c>
      <c r="E17" s="22" t="s">
        <v>44</v>
      </c>
      <c r="F17" s="22" t="s">
        <v>44</v>
      </c>
      <c r="G17" s="22" t="s">
        <v>44</v>
      </c>
      <c r="H17" s="22" t="s">
        <v>44</v>
      </c>
      <c r="I17" s="22" t="s">
        <v>44</v>
      </c>
      <c r="J17" s="4"/>
    </row>
    <row r="18" spans="1:10" ht="12.9" customHeight="1">
      <c r="A18" s="3">
        <v>15</v>
      </c>
      <c r="B18" s="12" t="s">
        <v>100</v>
      </c>
      <c r="C18" s="5"/>
      <c r="D18" s="21">
        <v>8</v>
      </c>
      <c r="E18" s="22" t="s">
        <v>44</v>
      </c>
      <c r="F18" s="22" t="s">
        <v>44</v>
      </c>
      <c r="G18" s="22" t="s">
        <v>44</v>
      </c>
      <c r="H18" s="22" t="s">
        <v>44</v>
      </c>
      <c r="I18" s="22" t="s">
        <v>44</v>
      </c>
      <c r="J18" s="4"/>
    </row>
    <row r="19" spans="1:10" ht="12.9" customHeight="1">
      <c r="A19" s="3">
        <v>16</v>
      </c>
      <c r="B19" s="12"/>
      <c r="C19" s="5"/>
      <c r="D19" s="21"/>
      <c r="E19" s="22" t="s">
        <v>44</v>
      </c>
      <c r="F19" s="22" t="s">
        <v>44</v>
      </c>
      <c r="G19" s="22" t="s">
        <v>44</v>
      </c>
      <c r="H19" s="22" t="s">
        <v>44</v>
      </c>
      <c r="I19" s="22" t="s">
        <v>44</v>
      </c>
      <c r="J19" s="4"/>
    </row>
  </sheetData>
  <autoFilter ref="A3:J19" xr:uid="{00000000-0009-0000-0000-000000000000}"/>
  <mergeCells count="6">
    <mergeCell ref="J2:J3"/>
    <mergeCell ref="C2:C3"/>
    <mergeCell ref="D2:D3"/>
    <mergeCell ref="E2:I2"/>
    <mergeCell ref="A2:A3"/>
    <mergeCell ref="B2:B3"/>
  </mergeCells>
  <phoneticPr fontId="2" type="noConversion"/>
  <printOptions horizontalCentered="1" verticalCentered="1"/>
  <pageMargins left="0.39370078740157483" right="0.39370078740157483" top="0.39370078740157483" bottom="0.39370078740157483" header="0" footer="0"/>
  <pageSetup paperSize="9" scale="90" orientation="landscape" r:id="rId1"/>
  <colBreaks count="1" manualBreakCount="1">
    <brk id="9" max="4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"/>
  <sheetViews>
    <sheetView workbookViewId="0">
      <selection activeCell="B27" sqref="B27"/>
    </sheetView>
  </sheetViews>
  <sheetFormatPr defaultRowHeight="14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P41"/>
  <sheetViews>
    <sheetView topLeftCell="A7" workbookViewId="0">
      <selection activeCell="N16" sqref="N16"/>
    </sheetView>
  </sheetViews>
  <sheetFormatPr defaultColWidth="8.8984375" defaultRowHeight="15.6"/>
  <cols>
    <col min="1" max="1" width="8.8984375" style="67"/>
    <col min="2" max="2" width="3.19921875" style="67" customWidth="1"/>
    <col min="3" max="4" width="2.09765625" style="67" customWidth="1"/>
    <col min="5" max="5" width="15.09765625" style="67" bestFit="1" customWidth="1"/>
    <col min="6" max="14" width="11.59765625" style="67" customWidth="1"/>
    <col min="15" max="16" width="3.09765625" style="67" customWidth="1"/>
    <col min="17" max="16384" width="8.8984375" style="67"/>
  </cols>
  <sheetData>
    <row r="2" spans="2:16">
      <c r="B2" s="67" t="s">
        <v>256</v>
      </c>
    </row>
    <row r="4" spans="2:16">
      <c r="C4" s="66" t="s">
        <v>277</v>
      </c>
    </row>
    <row r="6" spans="2:16">
      <c r="C6" s="68" t="s">
        <v>159</v>
      </c>
      <c r="D6" s="69"/>
      <c r="E6" s="70"/>
      <c r="F6" s="71">
        <v>2014</v>
      </c>
      <c r="G6" s="71">
        <v>2015</v>
      </c>
      <c r="H6" s="71">
        <v>2016</v>
      </c>
      <c r="I6" s="71">
        <v>2017</v>
      </c>
      <c r="J6" s="71">
        <v>2018</v>
      </c>
      <c r="K6" s="71">
        <v>2019</v>
      </c>
      <c r="L6" s="71">
        <v>2020</v>
      </c>
      <c r="M6" s="71">
        <v>2021</v>
      </c>
      <c r="N6" s="71" t="s">
        <v>129</v>
      </c>
    </row>
    <row r="7" spans="2:16">
      <c r="C7" s="78" t="s">
        <v>112</v>
      </c>
      <c r="D7" s="69"/>
      <c r="E7" s="70"/>
      <c r="F7" s="92">
        <f>RFQ정보!C28</f>
        <v>300</v>
      </c>
      <c r="G7" s="92">
        <f>RFQ정보!D28</f>
        <v>1000</v>
      </c>
      <c r="H7" s="92">
        <f>RFQ정보!E28</f>
        <v>1200</v>
      </c>
      <c r="I7" s="92">
        <f>RFQ정보!F28</f>
        <v>1500</v>
      </c>
      <c r="J7" s="92">
        <f>RFQ정보!G28</f>
        <v>1800</v>
      </c>
      <c r="K7" s="92">
        <f>RFQ정보!H28</f>
        <v>2000</v>
      </c>
      <c r="L7" s="92">
        <f>RFQ정보!I28</f>
        <v>2000</v>
      </c>
      <c r="M7" s="92">
        <f>RFQ정보!J28</f>
        <v>1500</v>
      </c>
      <c r="N7" s="92">
        <f>SUM(F7:M7)</f>
        <v>11300</v>
      </c>
    </row>
    <row r="8" spans="2:16" ht="16.2" thickBot="1">
      <c r="F8" s="72"/>
      <c r="G8" s="73"/>
      <c r="H8" s="73"/>
      <c r="I8" s="73"/>
      <c r="J8" s="72"/>
      <c r="K8" s="72"/>
      <c r="L8" s="72"/>
      <c r="M8" s="72"/>
      <c r="N8" s="72"/>
    </row>
    <row r="9" spans="2:16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6"/>
      <c r="P9" s="80"/>
    </row>
    <row r="10" spans="2:16">
      <c r="B10" s="77"/>
      <c r="C10" s="78"/>
      <c r="D10" s="69"/>
      <c r="E10" s="70"/>
      <c r="F10" s="71">
        <v>2014</v>
      </c>
      <c r="G10" s="71">
        <v>2015</v>
      </c>
      <c r="H10" s="71">
        <v>2016</v>
      </c>
      <c r="I10" s="71">
        <v>2017</v>
      </c>
      <c r="J10" s="71">
        <v>2018</v>
      </c>
      <c r="K10" s="71">
        <v>2019</v>
      </c>
      <c r="L10" s="71">
        <v>2020</v>
      </c>
      <c r="M10" s="71">
        <v>2021</v>
      </c>
      <c r="N10" s="71" t="s">
        <v>129</v>
      </c>
      <c r="O10" s="79"/>
      <c r="P10" s="80"/>
    </row>
    <row r="11" spans="2:16">
      <c r="B11" s="77"/>
      <c r="C11" s="131" t="s">
        <v>276</v>
      </c>
      <c r="D11" s="132"/>
      <c r="E11" s="133"/>
      <c r="F11" s="127">
        <f>RFQ정보!C49</f>
        <v>180000000</v>
      </c>
      <c r="G11" s="127">
        <f>RFQ정보!D49</f>
        <v>594000000</v>
      </c>
      <c r="H11" s="127">
        <f>RFQ정보!E49</f>
        <v>705672000</v>
      </c>
      <c r="I11" s="127">
        <f>RFQ정보!F49</f>
        <v>873269100</v>
      </c>
      <c r="J11" s="127">
        <f>RFQ정보!G49</f>
        <v>1047922920</v>
      </c>
      <c r="K11" s="127">
        <f>RFQ정보!H49</f>
        <v>1164358800</v>
      </c>
      <c r="L11" s="127">
        <f>RFQ정보!I49</f>
        <v>1164358800</v>
      </c>
      <c r="M11" s="127">
        <f>RFQ정보!J49</f>
        <v>873269100</v>
      </c>
      <c r="N11" s="127">
        <f>SUM(F11:M11)</f>
        <v>6602850720</v>
      </c>
      <c r="O11" s="79"/>
      <c r="P11" s="80"/>
    </row>
    <row r="12" spans="2:16">
      <c r="B12" s="77"/>
      <c r="C12" s="131" t="s">
        <v>54</v>
      </c>
      <c r="D12" s="132"/>
      <c r="E12" s="133"/>
      <c r="F12" s="127">
        <f t="shared" ref="F12:M12" si="0">F13+F14+F16</f>
        <v>161138133.40268755</v>
      </c>
      <c r="G12" s="127">
        <f t="shared" si="0"/>
        <v>520117412.19086897</v>
      </c>
      <c r="H12" s="127">
        <f t="shared" si="0"/>
        <v>615850734.21432829</v>
      </c>
      <c r="I12" s="127">
        <f t="shared" si="0"/>
        <v>759605725.50521755</v>
      </c>
      <c r="J12" s="127">
        <f t="shared" si="0"/>
        <v>909825983.80227685</v>
      </c>
      <c r="K12" s="127">
        <f t="shared" si="0"/>
        <v>1011373138.6439158</v>
      </c>
      <c r="L12" s="127">
        <f t="shared" si="0"/>
        <v>1014179734.2354691</v>
      </c>
      <c r="M12" s="127">
        <f t="shared" si="0"/>
        <v>767841183.9770664</v>
      </c>
      <c r="N12" s="127">
        <f>SUM(F12:M12)</f>
        <v>5759932045.9718304</v>
      </c>
      <c r="O12" s="79"/>
      <c r="P12" s="80"/>
    </row>
    <row r="13" spans="2:16">
      <c r="B13" s="77"/>
      <c r="C13" s="128" t="s">
        <v>278</v>
      </c>
      <c r="D13" s="129"/>
      <c r="E13" s="130"/>
      <c r="F13" s="127">
        <f>'master list(견적BOM)'!C25</f>
        <v>143569261.88068756</v>
      </c>
      <c r="G13" s="127">
        <f>'master list(견적BOM)'!D25</f>
        <v>473778564.20626897</v>
      </c>
      <c r="H13" s="127">
        <f>'master list(견적BOM)'!E25</f>
        <v>562848934.27704751</v>
      </c>
      <c r="I13" s="127">
        <f>'master list(견적BOM)'!F25</f>
        <v>696525556.16784632</v>
      </c>
      <c r="J13" s="127">
        <f>'master list(견적BOM)'!G25</f>
        <v>835830667.40141559</v>
      </c>
      <c r="K13" s="127">
        <f>'master list(견적BOM)'!H25</f>
        <v>928700741.55712843</v>
      </c>
      <c r="L13" s="127">
        <f>'master list(견적BOM)'!I25</f>
        <v>928700741.55712843</v>
      </c>
      <c r="M13" s="127">
        <f>'master list(견적BOM)'!J25</f>
        <v>696525556.16784632</v>
      </c>
      <c r="N13" s="127">
        <f>SUM(F13:M13)</f>
        <v>5266480023.2153692</v>
      </c>
      <c r="O13" s="79"/>
      <c r="P13" s="80"/>
    </row>
    <row r="14" spans="2:16">
      <c r="B14" s="77"/>
      <c r="C14" s="128" t="s">
        <v>22</v>
      </c>
      <c r="D14" s="129"/>
      <c r="E14" s="130"/>
      <c r="F14" s="127">
        <f t="shared" ref="F14:M14" si="1">SUM(F15:F15)</f>
        <v>3844968.75</v>
      </c>
      <c r="G14" s="127">
        <f t="shared" si="1"/>
        <v>13457390.625</v>
      </c>
      <c r="H14" s="127">
        <f t="shared" si="1"/>
        <v>16956312.1875</v>
      </c>
      <c r="I14" s="127">
        <f t="shared" si="1"/>
        <v>22255159.74609375</v>
      </c>
      <c r="J14" s="127">
        <f t="shared" si="1"/>
        <v>28041501.280078128</v>
      </c>
      <c r="K14" s="127">
        <f t="shared" si="1"/>
        <v>32715084.826757815</v>
      </c>
      <c r="L14" s="127">
        <f t="shared" si="1"/>
        <v>34350839.068095706</v>
      </c>
      <c r="M14" s="127">
        <f t="shared" si="1"/>
        <v>27051285.766125374</v>
      </c>
      <c r="N14" s="127">
        <f>SUM(F14:M14)</f>
        <v>178672542.24965078</v>
      </c>
      <c r="O14" s="79"/>
      <c r="P14" s="80"/>
    </row>
    <row r="15" spans="2:16">
      <c r="B15" s="77"/>
      <c r="C15" s="88"/>
      <c r="D15" s="80"/>
      <c r="E15" s="85" t="s">
        <v>248</v>
      </c>
      <c r="F15" s="126">
        <f>'원가산출 정보'!D50</f>
        <v>3844968.75</v>
      </c>
      <c r="G15" s="126">
        <f>'원가산출 정보'!E50</f>
        <v>13457390.625</v>
      </c>
      <c r="H15" s="126">
        <f>'원가산출 정보'!F50</f>
        <v>16956312.1875</v>
      </c>
      <c r="I15" s="126">
        <f>'원가산출 정보'!G50</f>
        <v>22255159.74609375</v>
      </c>
      <c r="J15" s="126">
        <f>'원가산출 정보'!H50</f>
        <v>28041501.280078128</v>
      </c>
      <c r="K15" s="126">
        <f>'원가산출 정보'!I50</f>
        <v>32715084.826757815</v>
      </c>
      <c r="L15" s="126">
        <f>'원가산출 정보'!J50</f>
        <v>34350839.068095706</v>
      </c>
      <c r="M15" s="126">
        <f>'원가산출 정보'!K50</f>
        <v>27051285.766125374</v>
      </c>
      <c r="N15" s="126"/>
      <c r="O15" s="79"/>
      <c r="P15" s="80"/>
    </row>
    <row r="16" spans="2:16">
      <c r="B16" s="77"/>
      <c r="C16" s="128" t="s">
        <v>23</v>
      </c>
      <c r="D16" s="129"/>
      <c r="E16" s="130"/>
      <c r="F16" s="127">
        <f t="shared" ref="F16:M16" si="2">SUM(F17:F21)</f>
        <v>13723902.772</v>
      </c>
      <c r="G16" s="127">
        <f t="shared" si="2"/>
        <v>32881457.3596</v>
      </c>
      <c r="H16" s="127">
        <f t="shared" si="2"/>
        <v>36045487.749780804</v>
      </c>
      <c r="I16" s="127">
        <f t="shared" si="2"/>
        <v>40825009.59127754</v>
      </c>
      <c r="J16" s="127">
        <f t="shared" si="2"/>
        <v>45953815.120783128</v>
      </c>
      <c r="K16" s="127">
        <f t="shared" si="2"/>
        <v>49957312.260029599</v>
      </c>
      <c r="L16" s="127">
        <f t="shared" si="2"/>
        <v>51128153.610245004</v>
      </c>
      <c r="M16" s="127">
        <f t="shared" si="2"/>
        <v>44264342.043094806</v>
      </c>
      <c r="N16" s="127">
        <f>SUM(F16:M16)</f>
        <v>314779480.50681084</v>
      </c>
      <c r="O16" s="79"/>
      <c r="P16" s="80"/>
    </row>
    <row r="17" spans="2:16">
      <c r="B17" s="77"/>
      <c r="C17" s="88"/>
      <c r="D17" s="80"/>
      <c r="E17" s="85" t="s">
        <v>55</v>
      </c>
      <c r="F17" s="126">
        <f>'원가산출 정보'!D51</f>
        <v>1182664.7040000001</v>
      </c>
      <c r="G17" s="126">
        <f>'원가산출 정보'!E51</f>
        <v>4099904.3072000011</v>
      </c>
      <c r="H17" s="126">
        <f>'원가산출 정보'!F51</f>
        <v>5116680.5753856013</v>
      </c>
      <c r="I17" s="126">
        <f>'원가산출 정보'!G51</f>
        <v>6651684.7480012821</v>
      </c>
      <c r="J17" s="126">
        <f>'원가산출 정보'!H51</f>
        <v>8301302.5655056005</v>
      </c>
      <c r="K17" s="126">
        <f>'원가산출 정보'!I51</f>
        <v>9592616.297917584</v>
      </c>
      <c r="L17" s="126">
        <f>'원가산출 정보'!J51</f>
        <v>9976320.9498342872</v>
      </c>
      <c r="M17" s="126">
        <f>'원가산출 정보'!K51</f>
        <v>7781530.3408707445</v>
      </c>
      <c r="N17" s="126"/>
      <c r="O17" s="79"/>
      <c r="P17" s="80"/>
    </row>
    <row r="18" spans="2:16">
      <c r="B18" s="77"/>
      <c r="C18" s="88"/>
      <c r="D18" s="80"/>
      <c r="E18" s="86" t="s">
        <v>24</v>
      </c>
      <c r="F18" s="126">
        <f>'원가산출 정보'!D52</f>
        <v>10300000</v>
      </c>
      <c r="G18" s="126">
        <f>'원가산출 정보'!E52</f>
        <v>21000000</v>
      </c>
      <c r="H18" s="126">
        <f>'원가산출 정보'!F52</f>
        <v>21200000</v>
      </c>
      <c r="I18" s="126">
        <f>'원가산출 정보'!G52</f>
        <v>21500000</v>
      </c>
      <c r="J18" s="126">
        <f>'원가산출 정보'!H52</f>
        <v>21800000</v>
      </c>
      <c r="K18" s="126">
        <f>'원가산출 정보'!I52</f>
        <v>22000000</v>
      </c>
      <c r="L18" s="126">
        <f>'원가산출 정보'!J52</f>
        <v>22000000</v>
      </c>
      <c r="M18" s="126">
        <f>'원가산출 정보'!K52</f>
        <v>21500000</v>
      </c>
      <c r="N18" s="126"/>
      <c r="O18" s="79"/>
      <c r="P18" s="80"/>
    </row>
    <row r="19" spans="2:16">
      <c r="B19" s="77"/>
      <c r="C19" s="88"/>
      <c r="D19" s="80"/>
      <c r="E19" s="86" t="s">
        <v>25</v>
      </c>
      <c r="F19" s="126">
        <f t="shared" ref="F19:M19" si="3">1000*F7</f>
        <v>300000</v>
      </c>
      <c r="G19" s="126">
        <f t="shared" si="3"/>
        <v>1000000</v>
      </c>
      <c r="H19" s="126">
        <f t="shared" si="3"/>
        <v>1200000</v>
      </c>
      <c r="I19" s="126">
        <f t="shared" si="3"/>
        <v>1500000</v>
      </c>
      <c r="J19" s="126">
        <f t="shared" si="3"/>
        <v>1800000</v>
      </c>
      <c r="K19" s="126">
        <f t="shared" si="3"/>
        <v>2000000</v>
      </c>
      <c r="L19" s="126">
        <f t="shared" si="3"/>
        <v>2000000</v>
      </c>
      <c r="M19" s="126">
        <f t="shared" si="3"/>
        <v>1500000</v>
      </c>
      <c r="N19" s="126"/>
      <c r="O19" s="79"/>
      <c r="P19" s="80"/>
    </row>
    <row r="20" spans="2:16">
      <c r="B20" s="77"/>
      <c r="C20" s="88"/>
      <c r="D20" s="80"/>
      <c r="E20" s="86" t="s">
        <v>56</v>
      </c>
      <c r="F20" s="126">
        <f>'원가산출 정보'!D53</f>
        <v>1557832.5000000002</v>
      </c>
      <c r="G20" s="126">
        <f>'원가산출 정보'!E53</f>
        <v>5452413.7500000009</v>
      </c>
      <c r="H20" s="126">
        <f>'원가산출 정보'!F53</f>
        <v>6870041.325000002</v>
      </c>
      <c r="I20" s="126">
        <f>'원가산출 정보'!G53</f>
        <v>9016929.2390625011</v>
      </c>
      <c r="J20" s="126">
        <f>'원가산출 정보'!H53</f>
        <v>11361330.841218753</v>
      </c>
      <c r="K20" s="126">
        <f>'원가산출 정보'!I53</f>
        <v>13254885.981421879</v>
      </c>
      <c r="L20" s="126">
        <f>'원가산출 정보'!J53</f>
        <v>13917630.280492974</v>
      </c>
      <c r="M20" s="126">
        <f>'원가산출 정보'!K53</f>
        <v>10960133.845888218</v>
      </c>
      <c r="N20" s="126"/>
      <c r="O20" s="79"/>
      <c r="P20" s="80"/>
    </row>
    <row r="21" spans="2:16">
      <c r="B21" s="77"/>
      <c r="C21" s="89"/>
      <c r="D21" s="90"/>
      <c r="E21" s="87" t="s">
        <v>28</v>
      </c>
      <c r="F21" s="126">
        <f>'원가산출 정보'!D54</f>
        <v>383405.56800000009</v>
      </c>
      <c r="G21" s="126">
        <f>'원가산출 정보'!E54</f>
        <v>1329139.3024000004</v>
      </c>
      <c r="H21" s="126">
        <f>'원가산출 정보'!F54</f>
        <v>1658765.8493952004</v>
      </c>
      <c r="I21" s="126">
        <f>'원가산출 정보'!G54</f>
        <v>2156395.6042137607</v>
      </c>
      <c r="J21" s="126">
        <f>'원가산출 정보'!H54</f>
        <v>2691181.7140587731</v>
      </c>
      <c r="K21" s="126">
        <f>'원가산출 정보'!I54</f>
        <v>3109809.9806901384</v>
      </c>
      <c r="L21" s="126">
        <f>'원가산출 정보'!J54</f>
        <v>3234202.3799177436</v>
      </c>
      <c r="M21" s="126">
        <f>'원가산출 정보'!K54</f>
        <v>2522677.8563358402</v>
      </c>
      <c r="N21" s="126"/>
      <c r="O21" s="79"/>
      <c r="P21" s="80"/>
    </row>
    <row r="22" spans="2:16">
      <c r="B22" s="77"/>
      <c r="C22" s="128" t="s">
        <v>57</v>
      </c>
      <c r="D22" s="129"/>
      <c r="E22" s="130"/>
      <c r="F22" s="127">
        <f t="shared" ref="F22:M22" si="4">F23+F24</f>
        <v>4356000</v>
      </c>
      <c r="G22" s="127">
        <f t="shared" si="4"/>
        <v>14374800</v>
      </c>
      <c r="H22" s="127">
        <f t="shared" si="4"/>
        <v>17077262.399999999</v>
      </c>
      <c r="I22" s="127">
        <f t="shared" si="4"/>
        <v>21133112.219999999</v>
      </c>
      <c r="J22" s="127">
        <f t="shared" si="4"/>
        <v>25359734.664000005</v>
      </c>
      <c r="K22" s="127">
        <f t="shared" si="4"/>
        <v>28177482.959999997</v>
      </c>
      <c r="L22" s="127">
        <f t="shared" si="4"/>
        <v>28177482.959999997</v>
      </c>
      <c r="M22" s="127">
        <f t="shared" si="4"/>
        <v>21133112.219999999</v>
      </c>
      <c r="N22" s="127">
        <f>SUM(F22:M22)</f>
        <v>159788987.42399999</v>
      </c>
      <c r="O22" s="79"/>
      <c r="P22" s="80"/>
    </row>
    <row r="23" spans="2:16">
      <c r="B23" s="77"/>
      <c r="C23" s="88"/>
      <c r="D23" s="78"/>
      <c r="E23" s="70" t="s">
        <v>68</v>
      </c>
      <c r="F23" s="126">
        <f>F$11*기준정보!$H$7</f>
        <v>900000</v>
      </c>
      <c r="G23" s="126">
        <f>G$11*기준정보!$H$7</f>
        <v>2970000</v>
      </c>
      <c r="H23" s="126">
        <f>H$11*기준정보!$H$7</f>
        <v>3528360</v>
      </c>
      <c r="I23" s="126">
        <f>I$11*기준정보!$H$7</f>
        <v>4366345.5</v>
      </c>
      <c r="J23" s="126">
        <f>J$11*기준정보!$H$7</f>
        <v>5239614.6000000006</v>
      </c>
      <c r="K23" s="126">
        <f>K$11*기준정보!$H$7</f>
        <v>5821794</v>
      </c>
      <c r="L23" s="126">
        <f>L$11*기준정보!$H$7</f>
        <v>5821794</v>
      </c>
      <c r="M23" s="126">
        <f>M$11*기준정보!$H$7</f>
        <v>4366345.5</v>
      </c>
      <c r="N23" s="126"/>
      <c r="O23" s="79"/>
      <c r="P23" s="80"/>
    </row>
    <row r="24" spans="2:16">
      <c r="B24" s="77"/>
      <c r="C24" s="88"/>
      <c r="D24" s="128" t="s">
        <v>69</v>
      </c>
      <c r="E24" s="130"/>
      <c r="F24" s="127">
        <f t="shared" ref="F24:M24" si="5">SUM(F25:F32)</f>
        <v>3456000</v>
      </c>
      <c r="G24" s="127">
        <f t="shared" si="5"/>
        <v>11404800</v>
      </c>
      <c r="H24" s="127">
        <f t="shared" si="5"/>
        <v>13548902.4</v>
      </c>
      <c r="I24" s="127">
        <f t="shared" si="5"/>
        <v>16766766.720000001</v>
      </c>
      <c r="J24" s="127">
        <f t="shared" si="5"/>
        <v>20120120.064000003</v>
      </c>
      <c r="K24" s="127">
        <f t="shared" si="5"/>
        <v>22355688.959999997</v>
      </c>
      <c r="L24" s="127">
        <f t="shared" si="5"/>
        <v>22355688.959999997</v>
      </c>
      <c r="M24" s="127">
        <f t="shared" si="5"/>
        <v>16766766.720000001</v>
      </c>
      <c r="N24" s="127"/>
      <c r="O24" s="79"/>
      <c r="P24" s="80"/>
    </row>
    <row r="25" spans="2:16">
      <c r="B25" s="77"/>
      <c r="C25" s="88"/>
      <c r="D25" s="88"/>
      <c r="E25" s="85" t="s">
        <v>27</v>
      </c>
      <c r="F25" s="126">
        <f>F$11*기준정보!$H8</f>
        <v>540000</v>
      </c>
      <c r="G25" s="126">
        <f>G$11*기준정보!$H8</f>
        <v>1782000</v>
      </c>
      <c r="H25" s="126">
        <f>H$11*기준정보!$H8</f>
        <v>2117016</v>
      </c>
      <c r="I25" s="126">
        <f>I$11*기준정보!$H8</f>
        <v>2619807.3000000003</v>
      </c>
      <c r="J25" s="126">
        <f>J$11*기준정보!$H8</f>
        <v>3143768.7600000002</v>
      </c>
      <c r="K25" s="126">
        <f>K$11*기준정보!$H8</f>
        <v>3493076.4</v>
      </c>
      <c r="L25" s="126">
        <f>L$11*기준정보!$H8</f>
        <v>3493076.4</v>
      </c>
      <c r="M25" s="126">
        <f>M$11*기준정보!$H8</f>
        <v>2619807.3000000003</v>
      </c>
      <c r="N25" s="126"/>
      <c r="O25" s="79"/>
      <c r="P25" s="80"/>
    </row>
    <row r="26" spans="2:16">
      <c r="B26" s="77"/>
      <c r="C26" s="88"/>
      <c r="D26" s="88"/>
      <c r="E26" s="86" t="s">
        <v>26</v>
      </c>
      <c r="F26" s="126">
        <f>F$11*기준정보!$H9</f>
        <v>180000</v>
      </c>
      <c r="G26" s="126">
        <f>G$11*기준정보!$H9</f>
        <v>594000</v>
      </c>
      <c r="H26" s="126">
        <f>H$11*기준정보!$H9</f>
        <v>705672</v>
      </c>
      <c r="I26" s="126">
        <f>I$11*기준정보!$H9</f>
        <v>873269.1</v>
      </c>
      <c r="J26" s="126">
        <f>J$11*기준정보!$H9</f>
        <v>1047922.92</v>
      </c>
      <c r="K26" s="126">
        <f>K$11*기준정보!$H9</f>
        <v>1164358.8</v>
      </c>
      <c r="L26" s="126">
        <f>L$11*기준정보!$H9</f>
        <v>1164358.8</v>
      </c>
      <c r="M26" s="126">
        <f>M$11*기준정보!$H9</f>
        <v>873269.1</v>
      </c>
      <c r="N26" s="126"/>
      <c r="O26" s="79"/>
      <c r="P26" s="80"/>
    </row>
    <row r="27" spans="2:16">
      <c r="B27" s="77"/>
      <c r="C27" s="88"/>
      <c r="D27" s="88"/>
      <c r="E27" s="86" t="s">
        <v>58</v>
      </c>
      <c r="F27" s="126">
        <f>F$11*기준정보!$H10</f>
        <v>540000</v>
      </c>
      <c r="G27" s="126">
        <f>G$11*기준정보!$H10</f>
        <v>1782000</v>
      </c>
      <c r="H27" s="126">
        <f>H$11*기준정보!$H10</f>
        <v>2117016</v>
      </c>
      <c r="I27" s="126">
        <f>I$11*기준정보!$H10</f>
        <v>2619807.3000000003</v>
      </c>
      <c r="J27" s="126">
        <f>J$11*기준정보!$H10</f>
        <v>3143768.7600000002</v>
      </c>
      <c r="K27" s="126">
        <f>K$11*기준정보!$H10</f>
        <v>3493076.4</v>
      </c>
      <c r="L27" s="126">
        <f>L$11*기준정보!$H10</f>
        <v>3493076.4</v>
      </c>
      <c r="M27" s="126">
        <f>M$11*기준정보!$H10</f>
        <v>2619807.3000000003</v>
      </c>
      <c r="N27" s="126"/>
      <c r="O27" s="79"/>
      <c r="P27" s="80"/>
    </row>
    <row r="28" spans="2:16">
      <c r="B28" s="77"/>
      <c r="C28" s="88"/>
      <c r="D28" s="88"/>
      <c r="E28" s="86" t="s">
        <v>59</v>
      </c>
      <c r="F28" s="126">
        <f>F$11*기준정보!$H11</f>
        <v>360000</v>
      </c>
      <c r="G28" s="126">
        <f>G$11*기준정보!$H11</f>
        <v>1188000</v>
      </c>
      <c r="H28" s="126">
        <f>H$11*기준정보!$H11</f>
        <v>1411344</v>
      </c>
      <c r="I28" s="126">
        <f>I$11*기준정보!$H11</f>
        <v>1746538.2</v>
      </c>
      <c r="J28" s="126">
        <f>J$11*기준정보!$H11</f>
        <v>2095845.84</v>
      </c>
      <c r="K28" s="126">
        <f>K$11*기준정보!$H11</f>
        <v>2328717.6</v>
      </c>
      <c r="L28" s="126">
        <f>L$11*기준정보!$H11</f>
        <v>2328717.6</v>
      </c>
      <c r="M28" s="126">
        <f>M$11*기준정보!$H11</f>
        <v>1746538.2</v>
      </c>
      <c r="N28" s="126"/>
      <c r="O28" s="79"/>
      <c r="P28" s="80"/>
    </row>
    <row r="29" spans="2:16">
      <c r="B29" s="77"/>
      <c r="C29" s="88"/>
      <c r="D29" s="88"/>
      <c r="E29" s="86" t="s">
        <v>60</v>
      </c>
      <c r="F29" s="126">
        <f>F$11*기준정보!$H12</f>
        <v>90000</v>
      </c>
      <c r="G29" s="126">
        <f>G$11*기준정보!$H12</f>
        <v>297000</v>
      </c>
      <c r="H29" s="126">
        <f>H$11*기준정보!$H12</f>
        <v>352836</v>
      </c>
      <c r="I29" s="126">
        <f>I$11*기준정보!$H12</f>
        <v>436634.55</v>
      </c>
      <c r="J29" s="126">
        <f>J$11*기준정보!$H12</f>
        <v>523961.46</v>
      </c>
      <c r="K29" s="126">
        <f>K$11*기준정보!$H12</f>
        <v>582179.4</v>
      </c>
      <c r="L29" s="126">
        <f>L$11*기준정보!$H12</f>
        <v>582179.4</v>
      </c>
      <c r="M29" s="126">
        <f>M$11*기준정보!$H12</f>
        <v>436634.55</v>
      </c>
      <c r="N29" s="126"/>
      <c r="O29" s="79"/>
      <c r="P29" s="80"/>
    </row>
    <row r="30" spans="2:16">
      <c r="B30" s="77"/>
      <c r="C30" s="88"/>
      <c r="D30" s="88"/>
      <c r="E30" s="86" t="s">
        <v>61</v>
      </c>
      <c r="F30" s="126">
        <f>F$11*기준정보!$H13</f>
        <v>90000</v>
      </c>
      <c r="G30" s="126">
        <f>G$11*기준정보!$H13</f>
        <v>297000</v>
      </c>
      <c r="H30" s="126">
        <f>H$11*기준정보!$H13</f>
        <v>352836</v>
      </c>
      <c r="I30" s="126">
        <f>I$11*기준정보!$H13</f>
        <v>436634.55</v>
      </c>
      <c r="J30" s="126">
        <f>J$11*기준정보!$H13</f>
        <v>523961.46</v>
      </c>
      <c r="K30" s="126">
        <f>K$11*기준정보!$H13</f>
        <v>582179.4</v>
      </c>
      <c r="L30" s="126">
        <f>L$11*기준정보!$H13</f>
        <v>582179.4</v>
      </c>
      <c r="M30" s="126">
        <f>M$11*기준정보!$H13</f>
        <v>436634.55</v>
      </c>
      <c r="N30" s="126"/>
      <c r="O30" s="79"/>
      <c r="P30" s="80"/>
    </row>
    <row r="31" spans="2:16">
      <c r="B31" s="77"/>
      <c r="C31" s="88"/>
      <c r="D31" s="88"/>
      <c r="E31" s="86" t="s">
        <v>62</v>
      </c>
      <c r="F31" s="126">
        <f>F$11*기준정보!$H14</f>
        <v>1440000</v>
      </c>
      <c r="G31" s="126">
        <f>G$11*기준정보!$H14</f>
        <v>4752000</v>
      </c>
      <c r="H31" s="126">
        <f>H$11*기준정보!$H14</f>
        <v>5645376</v>
      </c>
      <c r="I31" s="126">
        <f>I$11*기준정보!$H14</f>
        <v>6986152.7999999998</v>
      </c>
      <c r="J31" s="126">
        <f>J$11*기준정보!$H14</f>
        <v>8383383.3600000003</v>
      </c>
      <c r="K31" s="126">
        <f>K$11*기준정보!$H14</f>
        <v>9314870.4000000004</v>
      </c>
      <c r="L31" s="126">
        <f>L$11*기준정보!$H14</f>
        <v>9314870.4000000004</v>
      </c>
      <c r="M31" s="126">
        <f>M$11*기준정보!$H14</f>
        <v>6986152.7999999998</v>
      </c>
      <c r="N31" s="126"/>
      <c r="O31" s="79"/>
      <c r="P31" s="80"/>
    </row>
    <row r="32" spans="2:16">
      <c r="B32" s="77"/>
      <c r="C32" s="89"/>
      <c r="D32" s="89"/>
      <c r="E32" s="87" t="s">
        <v>103</v>
      </c>
      <c r="F32" s="126">
        <f>F$11*기준정보!$H15</f>
        <v>215999.99999999997</v>
      </c>
      <c r="G32" s="126">
        <f>G$11*기준정보!$H15</f>
        <v>712799.99999999988</v>
      </c>
      <c r="H32" s="126">
        <f>H$11*기준정보!$H15</f>
        <v>846806.39999999991</v>
      </c>
      <c r="I32" s="126">
        <f>I$11*기준정보!$H15</f>
        <v>1047922.9199999999</v>
      </c>
      <c r="J32" s="126">
        <f>J$11*기준정보!$H15</f>
        <v>1257507.504</v>
      </c>
      <c r="K32" s="126">
        <f>K$11*기준정보!$H15</f>
        <v>1397230.5599999998</v>
      </c>
      <c r="L32" s="126">
        <f>L$11*기준정보!$H15</f>
        <v>1397230.5599999998</v>
      </c>
      <c r="M32" s="126">
        <f>M$11*기준정보!$H15</f>
        <v>1047922.9199999999</v>
      </c>
      <c r="N32" s="126"/>
      <c r="O32" s="79"/>
      <c r="P32" s="80"/>
    </row>
    <row r="33" spans="2:16">
      <c r="B33" s="77"/>
      <c r="C33" s="128" t="s">
        <v>63</v>
      </c>
      <c r="D33" s="129"/>
      <c r="E33" s="130"/>
      <c r="F33" s="127">
        <f t="shared" ref="F33:M33" si="6">F34-F35</f>
        <v>36000</v>
      </c>
      <c r="G33" s="127">
        <f t="shared" si="6"/>
        <v>118800</v>
      </c>
      <c r="H33" s="127">
        <f t="shared" si="6"/>
        <v>141134.40000000002</v>
      </c>
      <c r="I33" s="127">
        <f t="shared" si="6"/>
        <v>174653.81999999995</v>
      </c>
      <c r="J33" s="127">
        <f t="shared" si="6"/>
        <v>209584.58400000003</v>
      </c>
      <c r="K33" s="127">
        <f t="shared" si="6"/>
        <v>232871.76</v>
      </c>
      <c r="L33" s="127">
        <f t="shared" si="6"/>
        <v>232871.76</v>
      </c>
      <c r="M33" s="127">
        <f t="shared" si="6"/>
        <v>174653.81999999995</v>
      </c>
      <c r="N33" s="127">
        <f>SUM(F33:M33)</f>
        <v>1320570.1439999999</v>
      </c>
      <c r="O33" s="79"/>
      <c r="P33" s="80"/>
    </row>
    <row r="34" spans="2:16">
      <c r="B34" s="77"/>
      <c r="C34" s="88"/>
      <c r="D34" s="80"/>
      <c r="E34" s="85" t="s">
        <v>64</v>
      </c>
      <c r="F34" s="126">
        <f>F$11*기준정보!$H16</f>
        <v>180000</v>
      </c>
      <c r="G34" s="126">
        <f>G$11*기준정보!$H16</f>
        <v>594000</v>
      </c>
      <c r="H34" s="126">
        <f>H$11*기준정보!$H16</f>
        <v>705672</v>
      </c>
      <c r="I34" s="126">
        <f>I$11*기준정보!$H16</f>
        <v>873269.1</v>
      </c>
      <c r="J34" s="126">
        <f>J$11*기준정보!$H16</f>
        <v>1047922.92</v>
      </c>
      <c r="K34" s="126">
        <f>K$11*기준정보!$H16</f>
        <v>1164358.8</v>
      </c>
      <c r="L34" s="126">
        <f>L$11*기준정보!$H16</f>
        <v>1164358.8</v>
      </c>
      <c r="M34" s="126">
        <f>M$11*기준정보!$H16</f>
        <v>873269.1</v>
      </c>
      <c r="N34" s="126"/>
      <c r="O34" s="79"/>
      <c r="P34" s="80"/>
    </row>
    <row r="35" spans="2:16">
      <c r="B35" s="77"/>
      <c r="C35" s="89"/>
      <c r="D35" s="90"/>
      <c r="E35" s="87" t="s">
        <v>65</v>
      </c>
      <c r="F35" s="126">
        <f>F$11*기준정보!$H17</f>
        <v>144000</v>
      </c>
      <c r="G35" s="126">
        <f>G$11*기준정보!$H17</f>
        <v>475200</v>
      </c>
      <c r="H35" s="126">
        <f>H$11*기준정보!$H17</f>
        <v>564537.59999999998</v>
      </c>
      <c r="I35" s="126">
        <f>I$11*기준정보!$H17</f>
        <v>698615.28</v>
      </c>
      <c r="J35" s="126">
        <f>J$11*기준정보!$H17</f>
        <v>838338.33600000001</v>
      </c>
      <c r="K35" s="126">
        <f>K$11*기준정보!$H17</f>
        <v>931487.04</v>
      </c>
      <c r="L35" s="126">
        <f>L$11*기준정보!$H17</f>
        <v>931487.04</v>
      </c>
      <c r="M35" s="126">
        <f>M$11*기준정보!$H17</f>
        <v>698615.28</v>
      </c>
      <c r="N35" s="126"/>
      <c r="O35" s="79"/>
      <c r="P35" s="80"/>
    </row>
    <row r="36" spans="2:16">
      <c r="B36" s="77"/>
      <c r="C36" s="128" t="s">
        <v>66</v>
      </c>
      <c r="D36" s="129"/>
      <c r="E36" s="130"/>
      <c r="F36" s="127">
        <f t="shared" ref="F36:M36" si="7">F37-F38</f>
        <v>90000</v>
      </c>
      <c r="G36" s="127">
        <f t="shared" si="7"/>
        <v>297000</v>
      </c>
      <c r="H36" s="127">
        <f t="shared" si="7"/>
        <v>352836</v>
      </c>
      <c r="I36" s="127">
        <f t="shared" si="7"/>
        <v>436634.55000000005</v>
      </c>
      <c r="J36" s="127">
        <f t="shared" si="7"/>
        <v>523961.4600000002</v>
      </c>
      <c r="K36" s="127">
        <f t="shared" si="7"/>
        <v>582179.39999999991</v>
      </c>
      <c r="L36" s="127">
        <f t="shared" si="7"/>
        <v>582179.39999999991</v>
      </c>
      <c r="M36" s="127">
        <f t="shared" si="7"/>
        <v>436634.55000000005</v>
      </c>
      <c r="N36" s="127">
        <f>SUM(F36:M36)</f>
        <v>3301425.3600000003</v>
      </c>
      <c r="O36" s="79"/>
      <c r="P36" s="80"/>
    </row>
    <row r="37" spans="2:16">
      <c r="B37" s="77"/>
      <c r="C37" s="88"/>
      <c r="D37" s="80"/>
      <c r="E37" s="85" t="s">
        <v>67</v>
      </c>
      <c r="F37" s="126">
        <f>F$11*기준정보!$H18</f>
        <v>450000</v>
      </c>
      <c r="G37" s="126">
        <f>G$11*기준정보!$H18</f>
        <v>1485000</v>
      </c>
      <c r="H37" s="126">
        <f>H$11*기준정보!$H18</f>
        <v>1764180</v>
      </c>
      <c r="I37" s="126">
        <f>I$11*기준정보!$H18</f>
        <v>2183172.75</v>
      </c>
      <c r="J37" s="126">
        <f>J$11*기준정보!$H18</f>
        <v>2619807.3000000003</v>
      </c>
      <c r="K37" s="126">
        <f>K$11*기준정보!$H18</f>
        <v>2910897</v>
      </c>
      <c r="L37" s="126">
        <f>L$11*기준정보!$H18</f>
        <v>2910897</v>
      </c>
      <c r="M37" s="126">
        <f>M$11*기준정보!$H18</f>
        <v>2183172.75</v>
      </c>
      <c r="N37" s="126"/>
      <c r="O37" s="79"/>
      <c r="P37" s="80"/>
    </row>
    <row r="38" spans="2:16">
      <c r="B38" s="77"/>
      <c r="C38" s="89"/>
      <c r="D38" s="90"/>
      <c r="E38" s="87" t="s">
        <v>29</v>
      </c>
      <c r="F38" s="126">
        <f>F$11*기준정보!$H19</f>
        <v>360000</v>
      </c>
      <c r="G38" s="126">
        <f>G$11*기준정보!$H19</f>
        <v>1188000</v>
      </c>
      <c r="H38" s="126">
        <f>H$11*기준정보!$H19</f>
        <v>1411344</v>
      </c>
      <c r="I38" s="126">
        <f>I$11*기준정보!$H19</f>
        <v>1746538.2</v>
      </c>
      <c r="J38" s="126">
        <f>J$11*기준정보!$H19</f>
        <v>2095845.84</v>
      </c>
      <c r="K38" s="126">
        <f>K$11*기준정보!$H19</f>
        <v>2328717.6</v>
      </c>
      <c r="L38" s="126">
        <f>L$11*기준정보!$H19</f>
        <v>2328717.6</v>
      </c>
      <c r="M38" s="126">
        <f>M$11*기준정보!$H19</f>
        <v>1746538.2</v>
      </c>
      <c r="N38" s="126"/>
      <c r="O38" s="79"/>
      <c r="P38" s="80"/>
    </row>
    <row r="39" spans="2:16">
      <c r="B39" s="77"/>
      <c r="C39" s="131" t="s">
        <v>275</v>
      </c>
      <c r="D39" s="132"/>
      <c r="E39" s="133"/>
      <c r="F39" s="127">
        <f t="shared" ref="F39:M39" si="8">F11-F12-F22+F33+F36</f>
        <v>14631866.59731245</v>
      </c>
      <c r="G39" s="127">
        <f t="shared" si="8"/>
        <v>59923587.809131026</v>
      </c>
      <c r="H39" s="127">
        <f t="shared" si="8"/>
        <v>73237973.785671711</v>
      </c>
      <c r="I39" s="127">
        <f t="shared" si="8"/>
        <v>93141550.644782439</v>
      </c>
      <c r="J39" s="127">
        <f t="shared" si="8"/>
        <v>113470747.57772315</v>
      </c>
      <c r="K39" s="127">
        <f t="shared" si="8"/>
        <v>125623229.55608425</v>
      </c>
      <c r="L39" s="127">
        <f t="shared" si="8"/>
        <v>122816633.96453092</v>
      </c>
      <c r="M39" s="127">
        <f t="shared" si="8"/>
        <v>84906092.172933593</v>
      </c>
      <c r="N39" s="127">
        <f>SUM(F39:M39)</f>
        <v>687751682.10816956</v>
      </c>
      <c r="O39" s="79"/>
      <c r="P39" s="80"/>
    </row>
    <row r="40" spans="2:16">
      <c r="B40" s="77"/>
      <c r="C40" s="78" t="s">
        <v>166</v>
      </c>
      <c r="D40" s="69"/>
      <c r="E40" s="70"/>
      <c r="F40" s="91">
        <f t="shared" ref="F40:M40" si="9">F39/F11</f>
        <v>8.1288147762846943E-2</v>
      </c>
      <c r="G40" s="91">
        <f t="shared" si="9"/>
        <v>0.10088146095813304</v>
      </c>
      <c r="H40" s="91">
        <f t="shared" si="9"/>
        <v>0.10378472404413341</v>
      </c>
      <c r="I40" s="91">
        <f t="shared" si="9"/>
        <v>0.10665847519943444</v>
      </c>
      <c r="J40" s="91">
        <f t="shared" si="9"/>
        <v>0.1082815781696264</v>
      </c>
      <c r="K40" s="91">
        <f t="shared" si="9"/>
        <v>0.10789047976971038</v>
      </c>
      <c r="L40" s="91">
        <f t="shared" si="9"/>
        <v>0.10548005817839906</v>
      </c>
      <c r="M40" s="91">
        <f t="shared" si="9"/>
        <v>9.7227867301080032E-2</v>
      </c>
      <c r="N40" s="138">
        <f t="shared" ref="N40" si="10">N39/N11</f>
        <v>0.10415981085638865</v>
      </c>
      <c r="O40" s="79"/>
      <c r="P40" s="80"/>
    </row>
    <row r="41" spans="2:16" ht="16.2" thickBot="1">
      <c r="B41" s="81"/>
      <c r="C41" s="82"/>
      <c r="D41" s="82"/>
      <c r="E41" s="82"/>
      <c r="F41" s="83"/>
      <c r="G41" s="82"/>
      <c r="H41" s="82"/>
      <c r="I41" s="82"/>
      <c r="J41" s="82"/>
      <c r="K41" s="82"/>
      <c r="L41" s="82"/>
      <c r="M41" s="82"/>
      <c r="N41" s="82"/>
      <c r="O41" s="84"/>
      <c r="P41" s="80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81"/>
  <sheetViews>
    <sheetView topLeftCell="A70" workbookViewId="0">
      <selection activeCell="J64" sqref="J64"/>
    </sheetView>
  </sheetViews>
  <sheetFormatPr defaultColWidth="8.8984375" defaultRowHeight="15.6"/>
  <cols>
    <col min="1" max="1" width="8.8984375" style="26"/>
    <col min="2" max="2" width="13.19921875" style="26" customWidth="1"/>
    <col min="3" max="11" width="12" style="26" customWidth="1"/>
    <col min="12" max="16384" width="8.8984375" style="26"/>
  </cols>
  <sheetData>
    <row r="2" spans="2:10">
      <c r="B2" s="58" t="s">
        <v>134</v>
      </c>
    </row>
    <row r="3" spans="2:10">
      <c r="B3" s="58"/>
    </row>
    <row r="4" spans="2:10">
      <c r="B4" s="26" t="s">
        <v>135</v>
      </c>
    </row>
    <row r="5" spans="2:10">
      <c r="B5" s="59" t="s">
        <v>136</v>
      </c>
      <c r="C5" s="55" t="s">
        <v>131</v>
      </c>
      <c r="D5" s="55" t="s">
        <v>137</v>
      </c>
      <c r="E5" s="55" t="s">
        <v>138</v>
      </c>
      <c r="F5" s="55" t="s">
        <v>139</v>
      </c>
      <c r="G5" s="55" t="s">
        <v>140</v>
      </c>
      <c r="H5" s="55" t="s">
        <v>141</v>
      </c>
      <c r="I5" s="55" t="s">
        <v>132</v>
      </c>
      <c r="J5" s="55" t="s">
        <v>142</v>
      </c>
    </row>
    <row r="6" spans="2:10">
      <c r="B6" s="55">
        <v>13007</v>
      </c>
      <c r="C6" s="55" t="s">
        <v>130</v>
      </c>
      <c r="D6" s="55" t="s">
        <v>147</v>
      </c>
      <c r="E6" s="55" t="s">
        <v>147</v>
      </c>
      <c r="F6" s="55" t="s">
        <v>148</v>
      </c>
      <c r="G6" s="55"/>
      <c r="H6" s="55"/>
      <c r="I6" s="55"/>
      <c r="J6" s="55"/>
    </row>
    <row r="8" spans="2:10">
      <c r="B8" s="26" t="s">
        <v>143</v>
      </c>
    </row>
    <row r="10" spans="2:10">
      <c r="B10" s="55" t="s">
        <v>144</v>
      </c>
      <c r="C10" s="55" t="s">
        <v>145</v>
      </c>
      <c r="D10" s="55" t="s">
        <v>133</v>
      </c>
    </row>
    <row r="11" spans="2:10">
      <c r="B11" s="55">
        <v>13007</v>
      </c>
      <c r="C11" s="55" t="s">
        <v>282</v>
      </c>
      <c r="D11" s="55" t="s">
        <v>149</v>
      </c>
    </row>
    <row r="12" spans="2:10">
      <c r="B12" s="55">
        <v>13007</v>
      </c>
      <c r="C12" s="55" t="s">
        <v>283</v>
      </c>
      <c r="D12" s="55" t="s">
        <v>150</v>
      </c>
    </row>
    <row r="13" spans="2:10">
      <c r="B13" s="55">
        <v>13007</v>
      </c>
      <c r="C13" s="55" t="s">
        <v>284</v>
      </c>
      <c r="D13" s="55" t="s">
        <v>151</v>
      </c>
    </row>
    <row r="14" spans="2:10">
      <c r="B14" s="55">
        <v>13007</v>
      </c>
      <c r="C14" s="55" t="s">
        <v>285</v>
      </c>
      <c r="D14" s="55" t="s">
        <v>152</v>
      </c>
    </row>
    <row r="16" spans="2:10">
      <c r="B16" s="26" t="s">
        <v>157</v>
      </c>
    </row>
    <row r="19" spans="2:11">
      <c r="B19" s="55" t="s">
        <v>145</v>
      </c>
      <c r="C19" s="55" t="s">
        <v>153</v>
      </c>
      <c r="D19" s="55" t="s">
        <v>154</v>
      </c>
      <c r="E19" s="55" t="s">
        <v>155</v>
      </c>
      <c r="F19" s="55" t="s">
        <v>156</v>
      </c>
      <c r="G19" s="55"/>
    </row>
    <row r="20" spans="2:11">
      <c r="B20" s="56" t="s">
        <v>282</v>
      </c>
      <c r="C20" s="60">
        <v>600000</v>
      </c>
      <c r="D20" s="60">
        <v>600000</v>
      </c>
      <c r="E20" s="55">
        <v>2014.07</v>
      </c>
      <c r="F20" s="55">
        <v>2021.06</v>
      </c>
      <c r="G20" s="55"/>
    </row>
    <row r="21" spans="2:11">
      <c r="B21" s="56" t="s">
        <v>283</v>
      </c>
      <c r="C21" s="60">
        <v>620000</v>
      </c>
      <c r="D21" s="60">
        <v>620000</v>
      </c>
      <c r="E21" s="55">
        <v>2014.07</v>
      </c>
      <c r="F21" s="55">
        <v>2021.06</v>
      </c>
      <c r="G21" s="55"/>
    </row>
    <row r="22" spans="2:11">
      <c r="B22" s="56" t="s">
        <v>284</v>
      </c>
      <c r="C22" s="60">
        <v>700000</v>
      </c>
      <c r="D22" s="60">
        <v>700000</v>
      </c>
      <c r="E22" s="55">
        <v>2014.07</v>
      </c>
      <c r="F22" s="55">
        <v>2021.06</v>
      </c>
      <c r="G22" s="55"/>
    </row>
    <row r="23" spans="2:11">
      <c r="B23" s="56" t="s">
        <v>285</v>
      </c>
      <c r="C23" s="60">
        <v>750000</v>
      </c>
      <c r="D23" s="60">
        <v>750000</v>
      </c>
      <c r="E23" s="55">
        <v>2014.07</v>
      </c>
      <c r="F23" s="55">
        <v>2021.06</v>
      </c>
      <c r="G23" s="55"/>
    </row>
    <row r="26" spans="2:11">
      <c r="B26" s="26" t="s">
        <v>158</v>
      </c>
    </row>
    <row r="27" spans="2:11">
      <c r="B27" s="55" t="s">
        <v>145</v>
      </c>
      <c r="C27" s="56">
        <v>2014</v>
      </c>
      <c r="D27" s="56">
        <v>2015</v>
      </c>
      <c r="E27" s="56">
        <v>2016</v>
      </c>
      <c r="F27" s="56">
        <v>2017</v>
      </c>
      <c r="G27" s="56">
        <v>2018</v>
      </c>
      <c r="H27" s="56">
        <v>2019</v>
      </c>
      <c r="I27" s="56">
        <v>2020</v>
      </c>
      <c r="J27" s="56">
        <v>2021</v>
      </c>
      <c r="K27" s="56" t="s">
        <v>146</v>
      </c>
    </row>
    <row r="28" spans="2:11">
      <c r="B28" s="56" t="s">
        <v>282</v>
      </c>
      <c r="C28" s="60">
        <v>300</v>
      </c>
      <c r="D28" s="60">
        <v>1000</v>
      </c>
      <c r="E28" s="60">
        <v>1200</v>
      </c>
      <c r="F28" s="60">
        <v>1500</v>
      </c>
      <c r="G28" s="60">
        <v>1800</v>
      </c>
      <c r="H28" s="60">
        <v>2000</v>
      </c>
      <c r="I28" s="60">
        <v>2000</v>
      </c>
      <c r="J28" s="60">
        <v>1500</v>
      </c>
      <c r="K28" s="60">
        <f>SUM(C28:J28)</f>
        <v>11300</v>
      </c>
    </row>
    <row r="29" spans="2:11">
      <c r="B29" s="56" t="s">
        <v>283</v>
      </c>
      <c r="C29" s="60">
        <v>300</v>
      </c>
      <c r="D29" s="60">
        <v>1000</v>
      </c>
      <c r="E29" s="60">
        <v>1200</v>
      </c>
      <c r="F29" s="60">
        <v>1500</v>
      </c>
      <c r="G29" s="60">
        <v>1800</v>
      </c>
      <c r="H29" s="60">
        <v>2000</v>
      </c>
      <c r="I29" s="60">
        <v>2000</v>
      </c>
      <c r="J29" s="60">
        <v>1500</v>
      </c>
      <c r="K29" s="60">
        <f t="shared" ref="K29" si="0">SUM(C29:J29)</f>
        <v>11300</v>
      </c>
    </row>
    <row r="30" spans="2:11">
      <c r="B30" s="56" t="s">
        <v>284</v>
      </c>
      <c r="C30" s="60">
        <v>100</v>
      </c>
      <c r="D30" s="60">
        <v>300</v>
      </c>
      <c r="E30" s="60">
        <v>400</v>
      </c>
      <c r="F30" s="60">
        <v>400</v>
      </c>
      <c r="G30" s="60">
        <v>400</v>
      </c>
      <c r="H30" s="60">
        <v>400</v>
      </c>
      <c r="I30" s="60">
        <v>300</v>
      </c>
      <c r="J30" s="60">
        <v>200</v>
      </c>
      <c r="K30" s="60">
        <f t="shared" ref="K30" si="1">SUM(C30:J30)</f>
        <v>2500</v>
      </c>
    </row>
    <row r="31" spans="2:11">
      <c r="B31" s="56" t="s">
        <v>285</v>
      </c>
      <c r="C31" s="60">
        <v>100</v>
      </c>
      <c r="D31" s="60">
        <v>300</v>
      </c>
      <c r="E31" s="60">
        <v>400</v>
      </c>
      <c r="F31" s="60">
        <v>400</v>
      </c>
      <c r="G31" s="60">
        <v>400</v>
      </c>
      <c r="H31" s="60">
        <v>400</v>
      </c>
      <c r="I31" s="60">
        <v>300</v>
      </c>
      <c r="J31" s="60">
        <v>200</v>
      </c>
      <c r="K31" s="60">
        <f t="shared" ref="K31" si="2">SUM(C31:J31)</f>
        <v>2500</v>
      </c>
    </row>
    <row r="33" spans="2:11">
      <c r="B33" s="26" t="s">
        <v>104</v>
      </c>
    </row>
    <row r="34" spans="2:11">
      <c r="B34" s="55" t="s">
        <v>145</v>
      </c>
      <c r="C34" s="56">
        <v>2014</v>
      </c>
      <c r="D34" s="56">
        <v>2015</v>
      </c>
      <c r="E34" s="56">
        <v>2016</v>
      </c>
      <c r="F34" s="56">
        <v>2017</v>
      </c>
      <c r="G34" s="56">
        <v>2018</v>
      </c>
      <c r="H34" s="56">
        <v>2019</v>
      </c>
      <c r="I34" s="56">
        <v>2020</v>
      </c>
      <c r="J34" s="56">
        <v>2021</v>
      </c>
      <c r="K34" s="56" t="s">
        <v>146</v>
      </c>
    </row>
    <row r="35" spans="2:11">
      <c r="B35" s="56" t="s">
        <v>282</v>
      </c>
      <c r="C35" s="60"/>
      <c r="D35" s="124">
        <v>0.01</v>
      </c>
      <c r="E35" s="124">
        <v>0.01</v>
      </c>
      <c r="F35" s="124">
        <v>0.01</v>
      </c>
      <c r="G35" s="60"/>
      <c r="H35" s="60"/>
      <c r="I35" s="60"/>
      <c r="J35" s="60"/>
      <c r="K35" s="60"/>
    </row>
    <row r="36" spans="2:11">
      <c r="B36" s="56" t="s">
        <v>283</v>
      </c>
      <c r="C36" s="60"/>
      <c r="D36" s="124">
        <v>0.01</v>
      </c>
      <c r="E36" s="124">
        <v>0.01</v>
      </c>
      <c r="F36" s="124">
        <v>0.01</v>
      </c>
      <c r="G36" s="60"/>
      <c r="H36" s="60"/>
      <c r="I36" s="60"/>
      <c r="J36" s="60"/>
      <c r="K36" s="60"/>
    </row>
    <row r="37" spans="2:11">
      <c r="B37" s="56" t="s">
        <v>284</v>
      </c>
      <c r="C37" s="60"/>
      <c r="D37" s="124">
        <v>0.01</v>
      </c>
      <c r="E37" s="124">
        <v>0.01</v>
      </c>
      <c r="F37" s="124">
        <v>0.01</v>
      </c>
      <c r="G37" s="60"/>
      <c r="H37" s="60"/>
      <c r="I37" s="60"/>
      <c r="J37" s="60"/>
      <c r="K37" s="60"/>
    </row>
    <row r="38" spans="2:11">
      <c r="B38" s="56" t="s">
        <v>285</v>
      </c>
      <c r="C38" s="60"/>
      <c r="D38" s="124">
        <v>0.01</v>
      </c>
      <c r="E38" s="124">
        <v>0.01</v>
      </c>
      <c r="F38" s="124">
        <v>0.01</v>
      </c>
      <c r="G38" s="60"/>
      <c r="H38" s="60"/>
      <c r="I38" s="60"/>
      <c r="J38" s="60"/>
      <c r="K38" s="60"/>
    </row>
    <row r="39" spans="2:11">
      <c r="B39" s="61"/>
      <c r="C39" s="123"/>
      <c r="D39" s="125"/>
      <c r="E39" s="125"/>
      <c r="F39" s="125"/>
      <c r="G39" s="123"/>
      <c r="H39" s="123"/>
      <c r="I39" s="123"/>
      <c r="J39" s="123"/>
      <c r="K39" s="123"/>
    </row>
    <row r="40" spans="2:11">
      <c r="B40" s="26" t="s">
        <v>268</v>
      </c>
    </row>
    <row r="41" spans="2:11">
      <c r="B41" s="55" t="s">
        <v>145</v>
      </c>
      <c r="C41" s="56">
        <v>2014</v>
      </c>
      <c r="D41" s="56">
        <v>2015</v>
      </c>
      <c r="E41" s="56">
        <v>2016</v>
      </c>
      <c r="F41" s="56">
        <v>2017</v>
      </c>
      <c r="G41" s="56">
        <v>2018</v>
      </c>
      <c r="H41" s="56">
        <v>2019</v>
      </c>
      <c r="I41" s="56">
        <v>2020</v>
      </c>
      <c r="J41" s="56">
        <v>2021</v>
      </c>
      <c r="K41" s="56" t="s">
        <v>146</v>
      </c>
    </row>
    <row r="42" spans="2:11">
      <c r="B42" s="56" t="s">
        <v>282</v>
      </c>
      <c r="C42" s="60">
        <f>C20</f>
        <v>600000</v>
      </c>
      <c r="D42" s="60">
        <f>C42*(1-D35)</f>
        <v>594000</v>
      </c>
      <c r="E42" s="60">
        <f t="shared" ref="E42:J42" si="3">D42*(1-E35)</f>
        <v>588060</v>
      </c>
      <c r="F42" s="60">
        <f t="shared" si="3"/>
        <v>582179.4</v>
      </c>
      <c r="G42" s="60">
        <f t="shared" si="3"/>
        <v>582179.4</v>
      </c>
      <c r="H42" s="60">
        <f t="shared" si="3"/>
        <v>582179.4</v>
      </c>
      <c r="I42" s="60">
        <f t="shared" si="3"/>
        <v>582179.4</v>
      </c>
      <c r="J42" s="60">
        <f t="shared" si="3"/>
        <v>582179.4</v>
      </c>
      <c r="K42" s="60"/>
    </row>
    <row r="43" spans="2:11">
      <c r="B43" s="56" t="s">
        <v>283</v>
      </c>
      <c r="C43" s="60">
        <f t="shared" ref="C43:C45" si="4">C21</f>
        <v>620000</v>
      </c>
      <c r="D43" s="60">
        <f>C43*(1-D36)</f>
        <v>613800</v>
      </c>
      <c r="E43" s="60">
        <f t="shared" ref="E43:J43" si="5">D43*(1-E36)</f>
        <v>607662</v>
      </c>
      <c r="F43" s="60">
        <f t="shared" si="5"/>
        <v>601585.38</v>
      </c>
      <c r="G43" s="60">
        <f t="shared" si="5"/>
        <v>601585.38</v>
      </c>
      <c r="H43" s="60">
        <f t="shared" si="5"/>
        <v>601585.38</v>
      </c>
      <c r="I43" s="60">
        <f t="shared" si="5"/>
        <v>601585.38</v>
      </c>
      <c r="J43" s="60">
        <f t="shared" si="5"/>
        <v>601585.38</v>
      </c>
      <c r="K43" s="60"/>
    </row>
    <row r="44" spans="2:11">
      <c r="B44" s="56" t="s">
        <v>284</v>
      </c>
      <c r="C44" s="60">
        <f t="shared" si="4"/>
        <v>700000</v>
      </c>
      <c r="D44" s="60">
        <f t="shared" ref="D44" si="6">C44*(1-D37)</f>
        <v>693000</v>
      </c>
      <c r="E44" s="60">
        <f t="shared" ref="E44:J44" si="7">D44*(1-E37)</f>
        <v>686070</v>
      </c>
      <c r="F44" s="60">
        <f t="shared" si="7"/>
        <v>679209.3</v>
      </c>
      <c r="G44" s="60">
        <f t="shared" si="7"/>
        <v>679209.3</v>
      </c>
      <c r="H44" s="60">
        <f t="shared" si="7"/>
        <v>679209.3</v>
      </c>
      <c r="I44" s="60">
        <f t="shared" si="7"/>
        <v>679209.3</v>
      </c>
      <c r="J44" s="60">
        <f t="shared" si="7"/>
        <v>679209.3</v>
      </c>
      <c r="K44" s="60"/>
    </row>
    <row r="45" spans="2:11">
      <c r="B45" s="56" t="s">
        <v>285</v>
      </c>
      <c r="C45" s="60">
        <f t="shared" si="4"/>
        <v>750000</v>
      </c>
      <c r="D45" s="60">
        <f t="shared" ref="D45" si="8">C45*(1-D38)</f>
        <v>742500</v>
      </c>
      <c r="E45" s="60">
        <f t="shared" ref="E45:J45" si="9">D45*(1-E38)</f>
        <v>735075</v>
      </c>
      <c r="F45" s="60">
        <f t="shared" si="9"/>
        <v>727724.25</v>
      </c>
      <c r="G45" s="60">
        <f t="shared" si="9"/>
        <v>727724.25</v>
      </c>
      <c r="H45" s="60">
        <f t="shared" si="9"/>
        <v>727724.25</v>
      </c>
      <c r="I45" s="60">
        <f t="shared" si="9"/>
        <v>727724.25</v>
      </c>
      <c r="J45" s="60">
        <f t="shared" si="9"/>
        <v>727724.25</v>
      </c>
      <c r="K45" s="60"/>
    </row>
    <row r="46" spans="2:11">
      <c r="B46" s="61"/>
      <c r="C46" s="123"/>
      <c r="D46" s="125"/>
      <c r="E46" s="125"/>
      <c r="F46" s="125"/>
      <c r="G46" s="123"/>
      <c r="H46" s="123"/>
      <c r="I46" s="123"/>
      <c r="J46" s="123"/>
      <c r="K46" s="123"/>
    </row>
    <row r="47" spans="2:11">
      <c r="B47" s="26" t="s">
        <v>269</v>
      </c>
    </row>
    <row r="48" spans="2:11">
      <c r="B48" s="55" t="s">
        <v>145</v>
      </c>
      <c r="C48" s="56">
        <v>2014</v>
      </c>
      <c r="D48" s="56">
        <v>2015</v>
      </c>
      <c r="E48" s="56">
        <v>2016</v>
      </c>
      <c r="F48" s="56">
        <v>2017</v>
      </c>
      <c r="G48" s="56">
        <v>2018</v>
      </c>
      <c r="H48" s="56">
        <v>2019</v>
      </c>
      <c r="I48" s="56">
        <v>2020</v>
      </c>
      <c r="J48" s="56">
        <v>2021</v>
      </c>
      <c r="K48" s="56" t="s">
        <v>146</v>
      </c>
    </row>
    <row r="49" spans="2:11">
      <c r="B49" s="56" t="s">
        <v>286</v>
      </c>
      <c r="C49" s="60">
        <f>C42*C28</f>
        <v>180000000</v>
      </c>
      <c r="D49" s="60">
        <f t="shared" ref="D49:J49" si="10">D42*D28</f>
        <v>594000000</v>
      </c>
      <c r="E49" s="60">
        <f t="shared" si="10"/>
        <v>705672000</v>
      </c>
      <c r="F49" s="60">
        <f t="shared" si="10"/>
        <v>873269100</v>
      </c>
      <c r="G49" s="60">
        <f t="shared" si="10"/>
        <v>1047922920</v>
      </c>
      <c r="H49" s="60">
        <f t="shared" si="10"/>
        <v>1164358800</v>
      </c>
      <c r="I49" s="60">
        <f t="shared" si="10"/>
        <v>1164358800</v>
      </c>
      <c r="J49" s="60">
        <f t="shared" si="10"/>
        <v>873269100</v>
      </c>
      <c r="K49" s="60"/>
    </row>
    <row r="50" spans="2:11">
      <c r="B50" s="56" t="s">
        <v>283</v>
      </c>
      <c r="C50" s="60">
        <f t="shared" ref="C50:J50" si="11">C43*C29</f>
        <v>186000000</v>
      </c>
      <c r="D50" s="60">
        <f t="shared" si="11"/>
        <v>613800000</v>
      </c>
      <c r="E50" s="60">
        <f t="shared" si="11"/>
        <v>729194400</v>
      </c>
      <c r="F50" s="60">
        <f t="shared" si="11"/>
        <v>902378070</v>
      </c>
      <c r="G50" s="60">
        <f t="shared" si="11"/>
        <v>1082853684</v>
      </c>
      <c r="H50" s="60">
        <f t="shared" si="11"/>
        <v>1203170760</v>
      </c>
      <c r="I50" s="60">
        <f t="shared" si="11"/>
        <v>1203170760</v>
      </c>
      <c r="J50" s="60">
        <f t="shared" si="11"/>
        <v>902378070</v>
      </c>
      <c r="K50" s="60"/>
    </row>
    <row r="51" spans="2:11">
      <c r="B51" s="56" t="s">
        <v>284</v>
      </c>
      <c r="C51" s="60">
        <f t="shared" ref="C51:J51" si="12">C44*C30</f>
        <v>70000000</v>
      </c>
      <c r="D51" s="60">
        <f t="shared" si="12"/>
        <v>207900000</v>
      </c>
      <c r="E51" s="60">
        <f t="shared" si="12"/>
        <v>274428000</v>
      </c>
      <c r="F51" s="60">
        <f t="shared" si="12"/>
        <v>271683720</v>
      </c>
      <c r="G51" s="60">
        <f t="shared" si="12"/>
        <v>271683720</v>
      </c>
      <c r="H51" s="60">
        <f t="shared" si="12"/>
        <v>271683720</v>
      </c>
      <c r="I51" s="60">
        <f t="shared" si="12"/>
        <v>203762790</v>
      </c>
      <c r="J51" s="60">
        <f t="shared" si="12"/>
        <v>135841860</v>
      </c>
      <c r="K51" s="60"/>
    </row>
    <row r="52" spans="2:11">
      <c r="B52" s="56" t="s">
        <v>285</v>
      </c>
      <c r="C52" s="60">
        <f t="shared" ref="C52:J52" si="13">C45*C31</f>
        <v>75000000</v>
      </c>
      <c r="D52" s="60">
        <f t="shared" si="13"/>
        <v>222750000</v>
      </c>
      <c r="E52" s="60">
        <f t="shared" si="13"/>
        <v>294030000</v>
      </c>
      <c r="F52" s="60">
        <f t="shared" si="13"/>
        <v>291089700</v>
      </c>
      <c r="G52" s="60">
        <f t="shared" si="13"/>
        <v>291089700</v>
      </c>
      <c r="H52" s="60">
        <f t="shared" si="13"/>
        <v>291089700</v>
      </c>
      <c r="I52" s="60">
        <f t="shared" si="13"/>
        <v>218317275</v>
      </c>
      <c r="J52" s="60">
        <f t="shared" si="13"/>
        <v>145544850</v>
      </c>
      <c r="K52" s="60"/>
    </row>
    <row r="53" spans="2:11">
      <c r="B53" s="61"/>
      <c r="C53" s="123"/>
      <c r="D53" s="125"/>
      <c r="E53" s="125"/>
      <c r="F53" s="125"/>
      <c r="G53" s="123"/>
      <c r="H53" s="123"/>
      <c r="I53" s="123"/>
      <c r="J53" s="123"/>
      <c r="K53" s="123"/>
    </row>
    <row r="54" spans="2:11">
      <c r="B54" s="61"/>
      <c r="C54" s="123"/>
      <c r="D54" s="125"/>
      <c r="E54" s="125"/>
      <c r="F54" s="125"/>
      <c r="G54" s="123"/>
      <c r="H54" s="123"/>
      <c r="I54" s="123"/>
      <c r="J54" s="123"/>
      <c r="K54" s="123"/>
    </row>
    <row r="55" spans="2:11">
      <c r="B55" s="61"/>
      <c r="C55" s="123"/>
      <c r="D55" s="123"/>
      <c r="E55" s="123"/>
      <c r="F55" s="123"/>
      <c r="G55" s="123"/>
      <c r="H55" s="123"/>
      <c r="I55" s="123"/>
      <c r="J55" s="123"/>
      <c r="K55" s="123"/>
    </row>
    <row r="56" spans="2:11">
      <c r="B56" s="26" t="s">
        <v>195</v>
      </c>
    </row>
    <row r="58" spans="2:11">
      <c r="B58" s="55" t="s">
        <v>201</v>
      </c>
      <c r="C58" s="55" t="s">
        <v>196</v>
      </c>
      <c r="D58" s="55" t="s">
        <v>197</v>
      </c>
      <c r="E58" s="55" t="s">
        <v>203</v>
      </c>
      <c r="F58" s="55" t="s">
        <v>199</v>
      </c>
    </row>
    <row r="59" spans="2:11">
      <c r="B59" s="55" t="s">
        <v>71</v>
      </c>
      <c r="C59" s="55" t="s">
        <v>70</v>
      </c>
      <c r="D59" s="55" t="s">
        <v>198</v>
      </c>
      <c r="E59" s="55" t="s">
        <v>202</v>
      </c>
      <c r="F59" s="55" t="s">
        <v>221</v>
      </c>
    </row>
    <row r="60" spans="2:11">
      <c r="B60" s="55" t="s">
        <v>71</v>
      </c>
      <c r="C60" s="55" t="s">
        <v>102</v>
      </c>
      <c r="D60" s="55" t="s">
        <v>101</v>
      </c>
      <c r="E60" s="55" t="s">
        <v>202</v>
      </c>
      <c r="F60" s="55" t="s">
        <v>222</v>
      </c>
    </row>
    <row r="61" spans="2:11">
      <c r="B61" s="55" t="s">
        <v>31</v>
      </c>
      <c r="C61" s="55" t="s">
        <v>72</v>
      </c>
      <c r="D61" s="55" t="s">
        <v>205</v>
      </c>
      <c r="E61" s="55" t="s">
        <v>204</v>
      </c>
      <c r="F61" s="55" t="s">
        <v>221</v>
      </c>
    </row>
    <row r="62" spans="2:11">
      <c r="B62" s="55" t="s">
        <v>31</v>
      </c>
      <c r="C62" s="55" t="s">
        <v>74</v>
      </c>
      <c r="D62" s="55" t="s">
        <v>207</v>
      </c>
      <c r="E62" s="55" t="s">
        <v>204</v>
      </c>
      <c r="F62" s="55" t="s">
        <v>222</v>
      </c>
    </row>
    <row r="63" spans="2:11">
      <c r="B63" s="55" t="s">
        <v>76</v>
      </c>
      <c r="C63" s="55" t="s">
        <v>206</v>
      </c>
      <c r="D63" s="55" t="s">
        <v>205</v>
      </c>
      <c r="E63" s="55" t="s">
        <v>208</v>
      </c>
      <c r="F63" s="55" t="s">
        <v>221</v>
      </c>
    </row>
    <row r="64" spans="2:11">
      <c r="B64" s="55" t="s">
        <v>76</v>
      </c>
      <c r="C64" s="55" t="s">
        <v>75</v>
      </c>
      <c r="D64" s="55" t="s">
        <v>205</v>
      </c>
      <c r="E64" s="55" t="s">
        <v>208</v>
      </c>
      <c r="F64" s="55" t="s">
        <v>222</v>
      </c>
    </row>
    <row r="65" spans="2:9">
      <c r="B65" s="55" t="s">
        <v>73</v>
      </c>
      <c r="C65" s="55" t="s">
        <v>209</v>
      </c>
      <c r="D65" s="55" t="s">
        <v>210</v>
      </c>
      <c r="E65" s="55" t="s">
        <v>211</v>
      </c>
      <c r="F65" s="55" t="s">
        <v>221</v>
      </c>
    </row>
    <row r="66" spans="2:9">
      <c r="B66" s="55" t="s">
        <v>73</v>
      </c>
      <c r="C66" s="55" t="s">
        <v>212</v>
      </c>
      <c r="D66" s="55" t="s">
        <v>101</v>
      </c>
      <c r="E66" s="55" t="s">
        <v>211</v>
      </c>
      <c r="F66" s="55" t="s">
        <v>222</v>
      </c>
    </row>
    <row r="67" spans="2:9">
      <c r="B67" s="55" t="s">
        <v>200</v>
      </c>
      <c r="C67" s="55" t="s">
        <v>213</v>
      </c>
      <c r="D67" s="55" t="s">
        <v>198</v>
      </c>
      <c r="E67" s="55" t="s">
        <v>214</v>
      </c>
      <c r="F67" s="55" t="s">
        <v>221</v>
      </c>
    </row>
    <row r="68" spans="2:9">
      <c r="B68" s="55" t="s">
        <v>200</v>
      </c>
      <c r="C68" s="55" t="s">
        <v>215</v>
      </c>
      <c r="D68" s="55" t="s">
        <v>210</v>
      </c>
      <c r="E68" s="55" t="s">
        <v>214</v>
      </c>
      <c r="F68" s="55" t="s">
        <v>222</v>
      </c>
    </row>
    <row r="71" spans="2:9">
      <c r="B71" s="26" t="s">
        <v>194</v>
      </c>
    </row>
    <row r="73" spans="2:9">
      <c r="B73" s="150" t="s">
        <v>216</v>
      </c>
      <c r="C73" s="151"/>
      <c r="D73" s="56" t="s">
        <v>220</v>
      </c>
      <c r="E73" s="56" t="s">
        <v>217</v>
      </c>
      <c r="F73" s="56" t="s">
        <v>218</v>
      </c>
      <c r="G73" s="56" t="s">
        <v>219</v>
      </c>
      <c r="H73" s="56" t="s">
        <v>253</v>
      </c>
      <c r="I73" s="55"/>
    </row>
    <row r="74" spans="2:9">
      <c r="B74" s="152" t="s">
        <v>1</v>
      </c>
      <c r="C74" s="153"/>
      <c r="D74" s="56" t="s">
        <v>185</v>
      </c>
      <c r="E74" s="114">
        <v>41501</v>
      </c>
      <c r="F74" s="114">
        <v>41501</v>
      </c>
      <c r="G74" s="56">
        <f>F74-E74+1</f>
        <v>1</v>
      </c>
      <c r="H74" s="115" t="s">
        <v>255</v>
      </c>
      <c r="I74" s="55"/>
    </row>
    <row r="75" spans="2:9">
      <c r="B75" s="152" t="s">
        <v>186</v>
      </c>
      <c r="C75" s="153"/>
      <c r="D75" s="56" t="s">
        <v>185</v>
      </c>
      <c r="E75" s="114">
        <v>41501</v>
      </c>
      <c r="F75" s="114">
        <v>41501</v>
      </c>
      <c r="G75" s="56">
        <f t="shared" ref="G75:G81" si="14">F75-E75+1</f>
        <v>1</v>
      </c>
      <c r="H75" s="115" t="s">
        <v>255</v>
      </c>
      <c r="I75" s="55"/>
    </row>
    <row r="76" spans="2:9">
      <c r="B76" s="152" t="s">
        <v>187</v>
      </c>
      <c r="C76" s="153"/>
      <c r="D76" s="56" t="s">
        <v>188</v>
      </c>
      <c r="E76" s="114">
        <v>41502</v>
      </c>
      <c r="F76" s="114">
        <v>41506</v>
      </c>
      <c r="G76" s="56">
        <f t="shared" si="14"/>
        <v>5</v>
      </c>
      <c r="H76" s="116" t="s">
        <v>255</v>
      </c>
      <c r="I76" s="55"/>
    </row>
    <row r="77" spans="2:9">
      <c r="B77" s="152" t="s">
        <v>189</v>
      </c>
      <c r="C77" s="153"/>
      <c r="D77" s="56" t="s">
        <v>161</v>
      </c>
      <c r="E77" s="114">
        <v>41507</v>
      </c>
      <c r="F77" s="114">
        <v>41510</v>
      </c>
      <c r="G77" s="56">
        <f t="shared" si="14"/>
        <v>4</v>
      </c>
      <c r="H77" s="56" t="s">
        <v>254</v>
      </c>
      <c r="I77" s="55"/>
    </row>
    <row r="78" spans="2:9">
      <c r="B78" s="152" t="s">
        <v>190</v>
      </c>
      <c r="C78" s="153"/>
      <c r="D78" s="56" t="s">
        <v>191</v>
      </c>
      <c r="E78" s="114">
        <v>41507</v>
      </c>
      <c r="F78" s="114">
        <v>41510</v>
      </c>
      <c r="G78" s="56">
        <f t="shared" si="14"/>
        <v>4</v>
      </c>
      <c r="H78" s="56" t="s">
        <v>254</v>
      </c>
      <c r="I78" s="55"/>
    </row>
    <row r="79" spans="2:9">
      <c r="B79" s="152" t="s">
        <v>192</v>
      </c>
      <c r="C79" s="153"/>
      <c r="D79" s="56" t="s">
        <v>2</v>
      </c>
      <c r="E79" s="114">
        <v>41511</v>
      </c>
      <c r="F79" s="114">
        <v>41513</v>
      </c>
      <c r="G79" s="56">
        <f t="shared" si="14"/>
        <v>3</v>
      </c>
      <c r="H79" s="56" t="s">
        <v>254</v>
      </c>
      <c r="I79" s="55"/>
    </row>
    <row r="80" spans="2:9">
      <c r="B80" s="152" t="s">
        <v>3</v>
      </c>
      <c r="C80" s="153"/>
      <c r="D80" s="56" t="s">
        <v>193</v>
      </c>
      <c r="E80" s="114">
        <v>41511</v>
      </c>
      <c r="F80" s="114">
        <v>41513</v>
      </c>
      <c r="G80" s="56">
        <f t="shared" si="14"/>
        <v>3</v>
      </c>
      <c r="H80" s="56" t="s">
        <v>254</v>
      </c>
      <c r="I80" s="55"/>
    </row>
    <row r="81" spans="2:9">
      <c r="B81" s="152" t="s">
        <v>52</v>
      </c>
      <c r="C81" s="153"/>
      <c r="D81" s="56" t="s">
        <v>2</v>
      </c>
      <c r="E81" s="114">
        <v>41514</v>
      </c>
      <c r="F81" s="114">
        <v>41515</v>
      </c>
      <c r="G81" s="56">
        <f t="shared" si="14"/>
        <v>2</v>
      </c>
      <c r="H81" s="56" t="s">
        <v>254</v>
      </c>
      <c r="I81" s="55"/>
    </row>
  </sheetData>
  <mergeCells count="9">
    <mergeCell ref="B73:C73"/>
    <mergeCell ref="B80:C80"/>
    <mergeCell ref="B81:C81"/>
    <mergeCell ref="B74:C74"/>
    <mergeCell ref="B75:C75"/>
    <mergeCell ref="B76:C76"/>
    <mergeCell ref="B77:C77"/>
    <mergeCell ref="B78:C78"/>
    <mergeCell ref="B79:C79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25"/>
  <sheetViews>
    <sheetView tabSelected="1" topLeftCell="A5" workbookViewId="0">
      <selection activeCell="D33" sqref="D33"/>
    </sheetView>
  </sheetViews>
  <sheetFormatPr defaultColWidth="8.8984375" defaultRowHeight="15.6"/>
  <cols>
    <col min="1" max="1" width="8.8984375" style="26"/>
    <col min="2" max="2" width="11.69921875" style="26" customWidth="1"/>
    <col min="3" max="3" width="11.19921875" style="26" bestFit="1" customWidth="1"/>
    <col min="4" max="9" width="11.8984375" style="26" bestFit="1" customWidth="1"/>
    <col min="10" max="10" width="12.19921875" style="26" bestFit="1" customWidth="1"/>
    <col min="11" max="12" width="9.8984375" style="26" customWidth="1"/>
    <col min="13" max="16384" width="8.8984375" style="26"/>
  </cols>
  <sheetData>
    <row r="2" spans="2:12">
      <c r="B2" s="54" t="s">
        <v>163</v>
      </c>
      <c r="C2" s="93" t="s">
        <v>286</v>
      </c>
    </row>
    <row r="3" spans="2:12">
      <c r="B3" s="54" t="s">
        <v>164</v>
      </c>
      <c r="C3" s="94">
        <v>1.0999999999999999E-2</v>
      </c>
    </row>
    <row r="5" spans="2:12" ht="13.5" customHeight="1">
      <c r="B5" s="139"/>
      <c r="C5" s="140" t="s">
        <v>105</v>
      </c>
      <c r="D5" s="154" t="s">
        <v>106</v>
      </c>
      <c r="E5" s="154"/>
      <c r="F5" s="156" t="s">
        <v>160</v>
      </c>
      <c r="G5" s="140"/>
      <c r="H5" s="150" t="s">
        <v>107</v>
      </c>
      <c r="I5" s="155"/>
      <c r="J5" s="155"/>
      <c r="K5" s="151"/>
      <c r="L5" s="56"/>
    </row>
    <row r="6" spans="2:12">
      <c r="B6" s="139" t="s">
        <v>108</v>
      </c>
      <c r="C6" s="140" t="s">
        <v>109</v>
      </c>
      <c r="D6" s="140" t="s">
        <v>110</v>
      </c>
      <c r="E6" s="140" t="s">
        <v>111</v>
      </c>
      <c r="F6" s="157"/>
      <c r="G6" s="140" t="s">
        <v>112</v>
      </c>
      <c r="H6" s="56" t="s">
        <v>113</v>
      </c>
      <c r="I6" s="56" t="s">
        <v>76</v>
      </c>
      <c r="J6" s="56" t="s">
        <v>162</v>
      </c>
      <c r="K6" s="56" t="s">
        <v>71</v>
      </c>
      <c r="L6" s="56" t="s">
        <v>114</v>
      </c>
    </row>
    <row r="7" spans="2:12">
      <c r="B7" s="139" t="s">
        <v>115</v>
      </c>
      <c r="C7" s="139">
        <v>12345</v>
      </c>
      <c r="D7" s="139">
        <v>12345</v>
      </c>
      <c r="E7" s="139" t="s">
        <v>116</v>
      </c>
      <c r="F7" s="55" t="s">
        <v>115</v>
      </c>
      <c r="G7" s="139">
        <v>4</v>
      </c>
      <c r="H7" s="55" t="s">
        <v>117</v>
      </c>
      <c r="I7" s="134"/>
      <c r="J7" s="135">
        <v>25000</v>
      </c>
      <c r="K7" s="57">
        <f>J7</f>
        <v>25000</v>
      </c>
      <c r="L7" s="57">
        <f>IF(H7="KRW",G7*K7,(IF(H7="USD",G7*K7*기준정보!$F$43,0)))</f>
        <v>100000</v>
      </c>
    </row>
    <row r="8" spans="2:12">
      <c r="B8" s="139" t="s">
        <v>115</v>
      </c>
      <c r="C8" s="139">
        <v>12346</v>
      </c>
      <c r="D8" s="139">
        <v>12346</v>
      </c>
      <c r="E8" s="139" t="s">
        <v>118</v>
      </c>
      <c r="F8" s="55" t="s">
        <v>115</v>
      </c>
      <c r="G8" s="139">
        <v>4</v>
      </c>
      <c r="H8" s="55" t="s">
        <v>117</v>
      </c>
      <c r="I8" s="134"/>
      <c r="J8" s="135">
        <v>10000</v>
      </c>
      <c r="K8" s="57">
        <f t="shared" ref="K8:K14" si="0">J8</f>
        <v>10000</v>
      </c>
      <c r="L8" s="57">
        <f>IF(H8="KRW",G8*K8,(IF(H8="USD",G8*K8*기준정보!$F$43,0)))</f>
        <v>40000</v>
      </c>
    </row>
    <row r="9" spans="2:12">
      <c r="B9" s="139" t="s">
        <v>115</v>
      </c>
      <c r="C9" s="139">
        <v>12347</v>
      </c>
      <c r="D9" s="139">
        <v>12347</v>
      </c>
      <c r="E9" s="139" t="s">
        <v>119</v>
      </c>
      <c r="F9" s="55" t="s">
        <v>115</v>
      </c>
      <c r="G9" s="139">
        <v>2</v>
      </c>
      <c r="H9" s="55" t="s">
        <v>117</v>
      </c>
      <c r="I9" s="134"/>
      <c r="J9" s="135">
        <v>1000</v>
      </c>
      <c r="K9" s="57">
        <f t="shared" si="0"/>
        <v>1000</v>
      </c>
      <c r="L9" s="57">
        <f>IF(H9="KRW",G9*K9,(IF(H9="USD",G9*K9*기준정보!$F$43,0)))</f>
        <v>2000</v>
      </c>
    </row>
    <row r="10" spans="2:12">
      <c r="B10" s="139" t="s">
        <v>122</v>
      </c>
      <c r="C10" s="139">
        <v>12348</v>
      </c>
      <c r="D10" s="139">
        <v>12348</v>
      </c>
      <c r="E10" s="139" t="s">
        <v>120</v>
      </c>
      <c r="F10" s="62" t="s">
        <v>115</v>
      </c>
      <c r="G10" s="139">
        <v>2</v>
      </c>
      <c r="H10" s="55" t="s">
        <v>292</v>
      </c>
      <c r="I10" s="134"/>
      <c r="J10" s="135">
        <v>80</v>
      </c>
      <c r="K10" s="57">
        <f t="shared" si="0"/>
        <v>80</v>
      </c>
      <c r="L10" s="57">
        <f>IF(H10="KRW",G10*K10,(IF(H10="USD",G10*K10*기준정보!$F$43,0)))</f>
        <v>176000</v>
      </c>
    </row>
    <row r="11" spans="2:12">
      <c r="B11" s="139" t="s">
        <v>115</v>
      </c>
      <c r="C11" s="139">
        <v>12349</v>
      </c>
      <c r="D11" s="139">
        <v>12349</v>
      </c>
      <c r="E11" s="139" t="s">
        <v>121</v>
      </c>
      <c r="F11" s="55" t="s">
        <v>115</v>
      </c>
      <c r="G11" s="139">
        <v>1</v>
      </c>
      <c r="H11" s="55" t="s">
        <v>117</v>
      </c>
      <c r="I11" s="134"/>
      <c r="J11" s="135">
        <v>8000</v>
      </c>
      <c r="K11" s="57">
        <f t="shared" si="0"/>
        <v>8000</v>
      </c>
      <c r="L11" s="57">
        <f>IF(H11="KRW",G11*K11,(IF(H11="USD",G11*K11*기준정보!$F$43,0)))</f>
        <v>8000</v>
      </c>
    </row>
    <row r="12" spans="2:12">
      <c r="B12" s="139" t="s">
        <v>122</v>
      </c>
      <c r="C12" s="139">
        <v>12350</v>
      </c>
      <c r="D12" s="139">
        <v>12350</v>
      </c>
      <c r="E12" s="139" t="s">
        <v>123</v>
      </c>
      <c r="F12" s="62" t="s">
        <v>115</v>
      </c>
      <c r="G12" s="139">
        <v>4</v>
      </c>
      <c r="H12" s="55" t="s">
        <v>117</v>
      </c>
      <c r="I12" s="134">
        <v>2000</v>
      </c>
      <c r="J12" s="135">
        <v>2500</v>
      </c>
      <c r="K12" s="57">
        <f t="shared" si="0"/>
        <v>2500</v>
      </c>
      <c r="L12" s="57">
        <f>IF(H12="KRW",G12*K12,(IF(H12="USD",G12*K12*기준정보!$F$43,0)))</f>
        <v>10000</v>
      </c>
    </row>
    <row r="13" spans="2:12">
      <c r="B13" s="139" t="s">
        <v>122</v>
      </c>
      <c r="C13" s="139">
        <v>12351</v>
      </c>
      <c r="D13" s="139" t="s">
        <v>124</v>
      </c>
      <c r="E13" s="139" t="s">
        <v>125</v>
      </c>
      <c r="F13" s="55" t="s">
        <v>122</v>
      </c>
      <c r="G13" s="139">
        <v>1</v>
      </c>
      <c r="H13" s="55" t="s">
        <v>117</v>
      </c>
      <c r="I13" s="55">
        <v>5000</v>
      </c>
      <c r="J13" s="57">
        <v>5300</v>
      </c>
      <c r="K13" s="57">
        <f t="shared" si="0"/>
        <v>5300</v>
      </c>
      <c r="L13" s="57">
        <f>IF(H13="KRW",G13*K13,(IF(H13="USD",G13*K13*기준정보!$F$43,0)))</f>
        <v>5300</v>
      </c>
    </row>
    <row r="14" spans="2:12">
      <c r="B14" s="139" t="s">
        <v>122</v>
      </c>
      <c r="C14" s="139">
        <v>12352</v>
      </c>
      <c r="D14" s="139" t="s">
        <v>126</v>
      </c>
      <c r="E14" s="139" t="s">
        <v>127</v>
      </c>
      <c r="F14" s="55" t="s">
        <v>122</v>
      </c>
      <c r="G14" s="139">
        <v>2</v>
      </c>
      <c r="H14" s="55" t="s">
        <v>292</v>
      </c>
      <c r="I14" s="55">
        <v>50</v>
      </c>
      <c r="J14" s="57">
        <v>60</v>
      </c>
      <c r="K14" s="57">
        <f t="shared" si="0"/>
        <v>60</v>
      </c>
      <c r="L14" s="57">
        <f>IF(H14="KRW",G14*K14,(IF(H14="USD",G14*K14*기준정보!$F$43,0)))</f>
        <v>132000</v>
      </c>
    </row>
    <row r="15" spans="2:12">
      <c r="B15" s="139" t="s">
        <v>128</v>
      </c>
      <c r="C15" s="139"/>
      <c r="D15" s="139"/>
      <c r="E15" s="139"/>
      <c r="F15" s="55"/>
      <c r="G15" s="139"/>
      <c r="H15" s="55"/>
      <c r="I15" s="55"/>
      <c r="J15" s="55"/>
      <c r="K15" s="55"/>
      <c r="L15" s="63">
        <f>SUM(L7:L14)</f>
        <v>473300</v>
      </c>
    </row>
    <row r="17" spans="2:12">
      <c r="K17" s="64" t="s">
        <v>165</v>
      </c>
      <c r="L17" s="65">
        <f>L15/(1-C3)</f>
        <v>478564.20626895857</v>
      </c>
    </row>
    <row r="19" spans="2:12">
      <c r="B19" s="26" t="s">
        <v>287</v>
      </c>
    </row>
    <row r="20" spans="2:12">
      <c r="B20" s="55" t="s">
        <v>145</v>
      </c>
      <c r="C20" s="56">
        <v>2014</v>
      </c>
      <c r="D20" s="56">
        <v>2015</v>
      </c>
      <c r="E20" s="56">
        <v>2016</v>
      </c>
      <c r="F20" s="56">
        <v>2017</v>
      </c>
      <c r="G20" s="56">
        <v>2018</v>
      </c>
      <c r="H20" s="56">
        <v>2019</v>
      </c>
      <c r="I20" s="56">
        <v>2020</v>
      </c>
      <c r="J20" s="56">
        <v>2021</v>
      </c>
      <c r="K20" s="56" t="s">
        <v>146</v>
      </c>
    </row>
    <row r="21" spans="2:12">
      <c r="B21" s="56" t="s">
        <v>282</v>
      </c>
      <c r="C21" s="60">
        <f>L17</f>
        <v>478564.20626895857</v>
      </c>
      <c r="D21" s="60">
        <f>C21*(1-RFQ정보!D35)</f>
        <v>473778.56420626899</v>
      </c>
      <c r="E21" s="60">
        <f>D21*(1-RFQ정보!E35)</f>
        <v>469040.77856420627</v>
      </c>
      <c r="F21" s="60">
        <f>E21*(1-RFQ정보!F35)</f>
        <v>464350.37077856419</v>
      </c>
      <c r="G21" s="60">
        <f>F21*(1-RFQ정보!G35)</f>
        <v>464350.37077856419</v>
      </c>
      <c r="H21" s="60">
        <f>G21*(1-RFQ정보!H35)</f>
        <v>464350.37077856419</v>
      </c>
      <c r="I21" s="60">
        <f>H21*(1-RFQ정보!I35)</f>
        <v>464350.37077856419</v>
      </c>
      <c r="J21" s="60">
        <f>I21*(1-RFQ정보!J35)</f>
        <v>464350.37077856419</v>
      </c>
      <c r="K21" s="60"/>
    </row>
    <row r="22" spans="2:12">
      <c r="B22" s="61"/>
      <c r="C22" s="123"/>
      <c r="D22" s="125"/>
      <c r="E22" s="125"/>
      <c r="F22" s="125"/>
      <c r="G22" s="123"/>
      <c r="H22" s="123"/>
      <c r="I22" s="123"/>
      <c r="J22" s="123"/>
      <c r="K22" s="123"/>
    </row>
    <row r="23" spans="2:12">
      <c r="B23" s="26" t="s">
        <v>288</v>
      </c>
    </row>
    <row r="24" spans="2:12">
      <c r="B24" s="55" t="s">
        <v>145</v>
      </c>
      <c r="C24" s="56">
        <v>2014</v>
      </c>
      <c r="D24" s="56">
        <v>2015</v>
      </c>
      <c r="E24" s="56">
        <v>2016</v>
      </c>
      <c r="F24" s="56">
        <v>2017</v>
      </c>
      <c r="G24" s="56">
        <v>2018</v>
      </c>
      <c r="H24" s="56">
        <v>2019</v>
      </c>
      <c r="I24" s="56">
        <v>2020</v>
      </c>
      <c r="J24" s="56">
        <v>2021</v>
      </c>
      <c r="K24" s="56" t="s">
        <v>146</v>
      </c>
    </row>
    <row r="25" spans="2:12">
      <c r="B25" s="56" t="s">
        <v>282</v>
      </c>
      <c r="C25" s="60">
        <f>C21*RFQ정보!C28</f>
        <v>143569261.88068756</v>
      </c>
      <c r="D25" s="60">
        <f>D21*RFQ정보!D28</f>
        <v>473778564.20626897</v>
      </c>
      <c r="E25" s="60">
        <f>E21*RFQ정보!E28</f>
        <v>562848934.27704751</v>
      </c>
      <c r="F25" s="60">
        <f>F21*RFQ정보!F28</f>
        <v>696525556.16784632</v>
      </c>
      <c r="G25" s="60">
        <f>G21*RFQ정보!G28</f>
        <v>835830667.40141559</v>
      </c>
      <c r="H25" s="60">
        <f>H21*RFQ정보!H28</f>
        <v>928700741.55712843</v>
      </c>
      <c r="I25" s="60">
        <f>I21*RFQ정보!I28</f>
        <v>928700741.55712843</v>
      </c>
      <c r="J25" s="60">
        <f>J21*RFQ정보!J28</f>
        <v>696525556.16784632</v>
      </c>
      <c r="K25" s="60"/>
    </row>
  </sheetData>
  <mergeCells count="3">
    <mergeCell ref="D5:E5"/>
    <mergeCell ref="H5:K5"/>
    <mergeCell ref="F5:F6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Q54"/>
  <sheetViews>
    <sheetView topLeftCell="A16" workbookViewId="0">
      <selection activeCell="K32" sqref="K32"/>
    </sheetView>
  </sheetViews>
  <sheetFormatPr defaultColWidth="8.8984375" defaultRowHeight="15.6"/>
  <cols>
    <col min="1" max="1" width="1.796875" style="7" customWidth="1"/>
    <col min="2" max="2" width="4.19921875" style="7" bestFit="1" customWidth="1"/>
    <col min="3" max="3" width="12.3984375" style="7" customWidth="1"/>
    <col min="4" max="4" width="11.296875" style="13" customWidth="1"/>
    <col min="5" max="5" width="9.69921875" style="13" customWidth="1"/>
    <col min="6" max="6" width="10.8984375" style="13" customWidth="1"/>
    <col min="7" max="7" width="12.296875" style="13" customWidth="1"/>
    <col min="8" max="10" width="9.3984375" style="13" customWidth="1"/>
    <col min="11" max="12" width="10.59765625" style="13" customWidth="1"/>
    <col min="13" max="15" width="10.59765625" style="7" customWidth="1"/>
    <col min="16" max="16384" width="8.8984375" style="7"/>
  </cols>
  <sheetData>
    <row r="2" spans="2:17">
      <c r="B2" s="40" t="s">
        <v>258</v>
      </c>
      <c r="C2" s="38"/>
      <c r="D2" s="38"/>
      <c r="E2" s="39"/>
      <c r="F2" s="39"/>
      <c r="G2" s="39"/>
    </row>
    <row r="4" spans="2:17">
      <c r="C4" s="44" t="s">
        <v>257</v>
      </c>
      <c r="D4" s="44" t="s">
        <v>259</v>
      </c>
      <c r="E4" s="44" t="s">
        <v>262</v>
      </c>
    </row>
    <row r="5" spans="2:17">
      <c r="C5" s="42">
        <v>2013</v>
      </c>
      <c r="D5" s="42" t="s">
        <v>260</v>
      </c>
      <c r="E5" s="118">
        <v>0.05</v>
      </c>
    </row>
    <row r="6" spans="2:17">
      <c r="C6" s="42">
        <v>2013</v>
      </c>
      <c r="D6" s="42" t="s">
        <v>261</v>
      </c>
      <c r="E6" s="119">
        <v>0.04</v>
      </c>
    </row>
    <row r="7" spans="2:17">
      <c r="C7" s="42"/>
      <c r="D7" s="42"/>
      <c r="E7" s="42"/>
    </row>
    <row r="8" spans="2:17">
      <c r="C8" s="42"/>
      <c r="D8" s="42"/>
      <c r="E8" s="42"/>
    </row>
    <row r="9" spans="2:17">
      <c r="K9" s="120"/>
      <c r="L9" s="120"/>
    </row>
    <row r="11" spans="2:17" s="37" customFormat="1">
      <c r="B11" s="40" t="s">
        <v>77</v>
      </c>
      <c r="C11" s="38"/>
      <c r="D11" s="38"/>
      <c r="E11" s="39"/>
      <c r="F11" s="39"/>
      <c r="G11" s="39"/>
      <c r="N11" s="7"/>
      <c r="O11" s="7"/>
      <c r="P11" s="7"/>
      <c r="Q11" s="7"/>
    </row>
    <row r="13" spans="2:17">
      <c r="C13" s="54" t="s">
        <v>163</v>
      </c>
      <c r="D13" s="93" t="s">
        <v>159</v>
      </c>
    </row>
    <row r="14" spans="2:17">
      <c r="B14" s="121" t="s">
        <v>266</v>
      </c>
    </row>
    <row r="15" spans="2:17">
      <c r="B15" s="158" t="s">
        <v>249</v>
      </c>
      <c r="C15" s="159" t="s">
        <v>263</v>
      </c>
      <c r="D15" s="158" t="s">
        <v>78</v>
      </c>
      <c r="E15" s="158" t="s">
        <v>79</v>
      </c>
      <c r="F15" s="158" t="s">
        <v>50</v>
      </c>
      <c r="G15" s="158" t="s">
        <v>279</v>
      </c>
      <c r="H15" s="158" t="s">
        <v>86</v>
      </c>
      <c r="I15" s="158" t="s">
        <v>87</v>
      </c>
      <c r="J15" s="158" t="s">
        <v>183</v>
      </c>
      <c r="K15" s="160" t="s">
        <v>80</v>
      </c>
      <c r="L15" s="160"/>
      <c r="M15" s="160"/>
      <c r="N15" s="160"/>
      <c r="O15" s="160"/>
      <c r="P15" s="158" t="s">
        <v>184</v>
      </c>
    </row>
    <row r="16" spans="2:17" s="26" customFormat="1">
      <c r="B16" s="158"/>
      <c r="C16" s="158"/>
      <c r="D16" s="158"/>
      <c r="E16" s="158"/>
      <c r="F16" s="158"/>
      <c r="G16" s="158"/>
      <c r="H16" s="158"/>
      <c r="I16" s="158"/>
      <c r="J16" s="158"/>
      <c r="K16" s="44" t="s">
        <v>81</v>
      </c>
      <c r="L16" s="44" t="s">
        <v>82</v>
      </c>
      <c r="M16" s="44" t="s">
        <v>252</v>
      </c>
      <c r="N16" s="44" t="s">
        <v>83</v>
      </c>
      <c r="O16" s="44" t="s">
        <v>84</v>
      </c>
      <c r="P16" s="158"/>
    </row>
    <row r="17" spans="2:16" s="26" customFormat="1">
      <c r="B17" s="42" t="s">
        <v>250</v>
      </c>
      <c r="C17" s="42">
        <v>2012</v>
      </c>
      <c r="D17" s="42">
        <v>65432</v>
      </c>
      <c r="E17" s="42" t="s">
        <v>179</v>
      </c>
      <c r="F17" s="42" t="s">
        <v>181</v>
      </c>
      <c r="G17" s="113">
        <v>1000000000</v>
      </c>
      <c r="H17" s="42">
        <v>10</v>
      </c>
      <c r="I17" s="42">
        <v>2013.01</v>
      </c>
      <c r="J17" s="42">
        <v>100</v>
      </c>
      <c r="K17" s="42">
        <v>100</v>
      </c>
      <c r="L17" s="42">
        <v>30</v>
      </c>
      <c r="M17" s="42">
        <v>10</v>
      </c>
      <c r="N17" s="42">
        <v>40</v>
      </c>
      <c r="O17" s="42">
        <v>10</v>
      </c>
      <c r="P17" s="42"/>
    </row>
    <row r="18" spans="2:16" s="26" customFormat="1">
      <c r="B18" s="42"/>
      <c r="C18" s="42"/>
      <c r="D18" s="42"/>
      <c r="E18" s="43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</row>
    <row r="19" spans="2:16" s="26" customFormat="1">
      <c r="B19" s="42" t="s">
        <v>184</v>
      </c>
      <c r="C19" s="42"/>
      <c r="D19" s="42"/>
      <c r="E19" s="42"/>
      <c r="F19" s="42"/>
      <c r="G19" s="42"/>
      <c r="H19" s="42"/>
      <c r="I19" s="42"/>
      <c r="J19" s="42"/>
      <c r="K19" s="113">
        <f>$J$17*K17</f>
        <v>10000</v>
      </c>
      <c r="L19" s="113">
        <f>$J$17*L17</f>
        <v>3000</v>
      </c>
      <c r="M19" s="113">
        <f>$J$17*M17</f>
        <v>1000</v>
      </c>
      <c r="N19" s="113">
        <f>$J$17*N17</f>
        <v>4000</v>
      </c>
      <c r="O19" s="113">
        <f>$J$17*O17</f>
        <v>1000</v>
      </c>
      <c r="P19" s="113"/>
    </row>
    <row r="20" spans="2:16" s="26" customFormat="1">
      <c r="B20" s="42" t="s">
        <v>264</v>
      </c>
      <c r="C20" s="42">
        <v>2014</v>
      </c>
      <c r="D20" s="42"/>
      <c r="E20" s="42"/>
      <c r="F20" s="42"/>
      <c r="G20" s="42"/>
      <c r="H20" s="42"/>
      <c r="I20" s="42"/>
      <c r="J20" s="42"/>
      <c r="K20" s="113">
        <f>K19*(1+$E$5)^($C$20-$C$17)</f>
        <v>11025</v>
      </c>
      <c r="L20" s="113">
        <f>L19*(1+$E$6)^($C$20-$C$17)</f>
        <v>3244.8</v>
      </c>
      <c r="M20" s="113">
        <f>M19</f>
        <v>1000</v>
      </c>
      <c r="N20" s="113">
        <f>N19*(1+$E$5)^($C$20-$C$17)</f>
        <v>4410</v>
      </c>
      <c r="O20" s="113">
        <f>O19*(1+$E$6)^($C$20-$C$17)</f>
        <v>1081.6000000000001</v>
      </c>
      <c r="P20" s="113"/>
    </row>
    <row r="21" spans="2:16" s="26" customFormat="1">
      <c r="B21" s="7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</row>
    <row r="22" spans="2:16">
      <c r="B22" s="121" t="s">
        <v>265</v>
      </c>
    </row>
    <row r="23" spans="2:16">
      <c r="B23" s="158" t="s">
        <v>249</v>
      </c>
      <c r="C23" s="158" t="s">
        <v>257</v>
      </c>
      <c r="D23" s="158" t="s">
        <v>78</v>
      </c>
      <c r="E23" s="158" t="s">
        <v>79</v>
      </c>
      <c r="F23" s="158" t="s">
        <v>50</v>
      </c>
      <c r="G23" s="158" t="s">
        <v>85</v>
      </c>
      <c r="H23" s="158" t="s">
        <v>86</v>
      </c>
      <c r="I23" s="158" t="s">
        <v>87</v>
      </c>
      <c r="J23" s="158" t="s">
        <v>183</v>
      </c>
      <c r="K23" s="160" t="s">
        <v>80</v>
      </c>
      <c r="L23" s="160"/>
      <c r="M23" s="160"/>
      <c r="N23" s="160"/>
      <c r="O23" s="160"/>
      <c r="P23" s="158" t="s">
        <v>184</v>
      </c>
    </row>
    <row r="24" spans="2:16" s="26" customFormat="1">
      <c r="B24" s="158"/>
      <c r="C24" s="158"/>
      <c r="D24" s="158"/>
      <c r="E24" s="158"/>
      <c r="F24" s="158"/>
      <c r="G24" s="158"/>
      <c r="H24" s="158"/>
      <c r="I24" s="158"/>
      <c r="J24" s="158"/>
      <c r="K24" s="44" t="s">
        <v>81</v>
      </c>
      <c r="L24" s="44" t="s">
        <v>82</v>
      </c>
      <c r="M24" s="44" t="s">
        <v>252</v>
      </c>
      <c r="N24" s="44" t="s">
        <v>83</v>
      </c>
      <c r="O24" s="44" t="s">
        <v>84</v>
      </c>
      <c r="P24" s="158"/>
    </row>
    <row r="25" spans="2:16" s="26" customFormat="1">
      <c r="B25" s="42" t="s">
        <v>251</v>
      </c>
      <c r="C25" s="42">
        <v>2014</v>
      </c>
      <c r="D25" s="42">
        <v>65433</v>
      </c>
      <c r="E25" s="42" t="s">
        <v>180</v>
      </c>
      <c r="F25" s="42" t="s">
        <v>182</v>
      </c>
      <c r="G25" s="113">
        <v>200000000</v>
      </c>
      <c r="H25" s="42">
        <v>10</v>
      </c>
      <c r="I25" s="42">
        <v>2014.07</v>
      </c>
      <c r="J25" s="42">
        <v>20</v>
      </c>
      <c r="K25" s="42">
        <v>30</v>
      </c>
      <c r="L25" s="42">
        <v>20</v>
      </c>
      <c r="M25" s="136"/>
      <c r="N25" s="42">
        <v>15</v>
      </c>
      <c r="O25" s="42">
        <v>5</v>
      </c>
      <c r="P25" s="42"/>
    </row>
    <row r="26" spans="2:16" s="26" customFormat="1"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136"/>
      <c r="N26" s="42"/>
      <c r="O26" s="42"/>
      <c r="P26" s="42"/>
    </row>
    <row r="27" spans="2:16" s="26" customFormat="1">
      <c r="B27" s="42" t="s">
        <v>184</v>
      </c>
      <c r="C27" s="42"/>
      <c r="D27" s="42"/>
      <c r="E27" s="42"/>
      <c r="F27" s="42"/>
      <c r="G27" s="42"/>
      <c r="H27" s="42"/>
      <c r="I27" s="42"/>
      <c r="J27" s="42"/>
      <c r="K27" s="113">
        <f>$J$25*K25</f>
        <v>600</v>
      </c>
      <c r="L27" s="113">
        <f>$J$25*L25</f>
        <v>400</v>
      </c>
      <c r="M27" s="137"/>
      <c r="N27" s="113">
        <f>$J$25*N25</f>
        <v>300</v>
      </c>
      <c r="O27" s="113">
        <f>$J$25*O25</f>
        <v>100</v>
      </c>
      <c r="P27" s="113"/>
    </row>
    <row r="28" spans="2:16" s="26" customFormat="1">
      <c r="B28" s="42" t="s">
        <v>264</v>
      </c>
      <c r="C28" s="42">
        <v>2014</v>
      </c>
      <c r="D28" s="42"/>
      <c r="E28" s="42"/>
      <c r="F28" s="42"/>
      <c r="G28" s="42"/>
      <c r="H28" s="42"/>
      <c r="I28" s="42"/>
      <c r="J28" s="42"/>
      <c r="K28" s="113">
        <f>K27*(1+$E$5)^($C$28-$C$25)</f>
        <v>600</v>
      </c>
      <c r="L28" s="113">
        <f>L27*(1+$E$6)^($C$28-$C$25)</f>
        <v>400</v>
      </c>
      <c r="M28" s="137"/>
      <c r="N28" s="113">
        <f>N27*(1+$E$5)^($C$28-$C$25)</f>
        <v>300</v>
      </c>
      <c r="O28" s="113">
        <f>O27*(1+$E$6)^($C$28-$C$25)</f>
        <v>100</v>
      </c>
      <c r="P28" s="113"/>
    </row>
    <row r="29" spans="2:16" s="26" customFormat="1">
      <c r="B29" s="95"/>
      <c r="C29" s="95"/>
      <c r="D29" s="95"/>
      <c r="E29" s="95"/>
      <c r="F29" s="95"/>
      <c r="G29" s="95"/>
      <c r="H29" s="95"/>
      <c r="I29" s="95"/>
      <c r="J29" s="95"/>
      <c r="K29" s="117"/>
      <c r="L29" s="117"/>
      <c r="M29" s="117"/>
      <c r="N29" s="117"/>
      <c r="O29" s="117"/>
      <c r="P29" s="117"/>
    </row>
    <row r="30" spans="2:16" s="26" customFormat="1">
      <c r="B30" s="121" t="s">
        <v>267</v>
      </c>
      <c r="C30" s="95"/>
      <c r="D30" s="95"/>
      <c r="E30" s="95"/>
      <c r="F30" s="95"/>
      <c r="G30" s="95"/>
      <c r="H30" s="95"/>
      <c r="I30" s="95"/>
      <c r="J30" s="95"/>
      <c r="P30" s="117"/>
    </row>
    <row r="31" spans="2:16" s="26" customFormat="1">
      <c r="B31" s="121"/>
      <c r="C31" s="95"/>
      <c r="D31" s="95"/>
      <c r="E31" s="95"/>
      <c r="F31" s="95"/>
      <c r="G31" s="95"/>
      <c r="H31" s="95"/>
      <c r="I31" s="95"/>
      <c r="J31" s="95"/>
      <c r="K31" s="44" t="s">
        <v>81</v>
      </c>
      <c r="L31" s="44" t="s">
        <v>82</v>
      </c>
      <c r="M31" s="44" t="s">
        <v>281</v>
      </c>
      <c r="N31" s="44" t="s">
        <v>83</v>
      </c>
      <c r="O31" s="44" t="s">
        <v>84</v>
      </c>
      <c r="P31" s="117"/>
    </row>
    <row r="32" spans="2:16" s="26" customFormat="1">
      <c r="B32" s="95"/>
      <c r="C32" s="95"/>
      <c r="D32" s="95"/>
      <c r="E32" s="95"/>
      <c r="F32" s="95"/>
      <c r="G32" s="95"/>
      <c r="H32" s="95"/>
      <c r="I32" s="95"/>
      <c r="J32" s="95"/>
      <c r="K32" s="122">
        <f>K20+K28</f>
        <v>11625</v>
      </c>
      <c r="L32" s="122">
        <f>L20+L28</f>
        <v>3644.8</v>
      </c>
      <c r="M32" s="122">
        <f>M20</f>
        <v>1000</v>
      </c>
      <c r="N32" s="122">
        <f>N20+N28</f>
        <v>4710</v>
      </c>
      <c r="O32" s="122">
        <f>O20+O28</f>
        <v>1181.6000000000001</v>
      </c>
      <c r="P32" s="117"/>
    </row>
    <row r="33" spans="2:16" s="26" customFormat="1"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117"/>
    </row>
    <row r="35" spans="2:16">
      <c r="C35" s="26" t="s">
        <v>289</v>
      </c>
      <c r="D35" s="26"/>
      <c r="E35" s="26"/>
      <c r="F35" s="26"/>
      <c r="G35" s="26"/>
      <c r="H35" s="26"/>
      <c r="I35" s="26"/>
      <c r="J35" s="26"/>
      <c r="K35" s="26"/>
      <c r="L35" s="26"/>
    </row>
    <row r="36" spans="2:16">
      <c r="C36" s="55" t="s">
        <v>145</v>
      </c>
      <c r="D36" s="56">
        <v>2014</v>
      </c>
      <c r="E36" s="56">
        <v>2015</v>
      </c>
      <c r="F36" s="56">
        <v>2016</v>
      </c>
      <c r="G36" s="56">
        <v>2017</v>
      </c>
      <c r="H36" s="56">
        <v>2018</v>
      </c>
      <c r="I36" s="56">
        <v>2019</v>
      </c>
      <c r="J36" s="56">
        <v>2020</v>
      </c>
      <c r="K36" s="56">
        <v>2021</v>
      </c>
      <c r="L36" s="56" t="s">
        <v>146</v>
      </c>
    </row>
    <row r="37" spans="2:16">
      <c r="C37" s="56" t="s">
        <v>270</v>
      </c>
      <c r="D37" s="60">
        <f>K32*(1+E5)^($C$20-$C$17)</f>
        <v>12816.5625</v>
      </c>
      <c r="E37" s="60">
        <f>D37*(1+$E$5)</f>
        <v>13457.390625</v>
      </c>
      <c r="F37" s="60">
        <f>E37*(1+$E$5)</f>
        <v>14130.26015625</v>
      </c>
      <c r="G37" s="60">
        <f>F37*(1+$E$5)</f>
        <v>14836.773164062501</v>
      </c>
      <c r="H37" s="60">
        <f t="shared" ref="H37:K37" si="0">G37*(1+$E$5)</f>
        <v>15578.611822265626</v>
      </c>
      <c r="I37" s="60">
        <f t="shared" si="0"/>
        <v>16357.542413378907</v>
      </c>
      <c r="J37" s="60">
        <f t="shared" si="0"/>
        <v>17175.419534047855</v>
      </c>
      <c r="K37" s="60">
        <f t="shared" si="0"/>
        <v>18034.19051075025</v>
      </c>
      <c r="L37" s="60"/>
    </row>
    <row r="38" spans="2:16">
      <c r="C38" s="56" t="s">
        <v>271</v>
      </c>
      <c r="D38" s="60">
        <f>L32*(1+E6)^($C$20-$C$17)</f>
        <v>3942.2156800000007</v>
      </c>
      <c r="E38" s="60">
        <f>D38*(1+$E$6)</f>
        <v>4099.9043072000013</v>
      </c>
      <c r="F38" s="60">
        <f t="shared" ref="F38:K38" si="1">E38*(1+$E$6)</f>
        <v>4263.9004794880011</v>
      </c>
      <c r="G38" s="60">
        <f t="shared" si="1"/>
        <v>4434.4564986675214</v>
      </c>
      <c r="H38" s="60">
        <f t="shared" si="1"/>
        <v>4611.8347586142227</v>
      </c>
      <c r="I38" s="60">
        <f t="shared" si="1"/>
        <v>4796.3081489587921</v>
      </c>
      <c r="J38" s="60">
        <f t="shared" si="1"/>
        <v>4988.1604749171438</v>
      </c>
      <c r="K38" s="60">
        <f t="shared" si="1"/>
        <v>5187.6868939138294</v>
      </c>
      <c r="L38" s="60"/>
    </row>
    <row r="39" spans="2:16">
      <c r="C39" s="56" t="s">
        <v>272</v>
      </c>
      <c r="D39" s="60">
        <f>M32</f>
        <v>1000</v>
      </c>
      <c r="E39" s="60">
        <f>D39</f>
        <v>1000</v>
      </c>
      <c r="F39" s="60">
        <f t="shared" ref="F39:K39" si="2">E39</f>
        <v>1000</v>
      </c>
      <c r="G39" s="60">
        <f t="shared" si="2"/>
        <v>1000</v>
      </c>
      <c r="H39" s="60">
        <f t="shared" si="2"/>
        <v>1000</v>
      </c>
      <c r="I39" s="60">
        <f t="shared" si="2"/>
        <v>1000</v>
      </c>
      <c r="J39" s="60">
        <f t="shared" si="2"/>
        <v>1000</v>
      </c>
      <c r="K39" s="60">
        <f t="shared" si="2"/>
        <v>1000</v>
      </c>
      <c r="L39" s="60"/>
    </row>
    <row r="40" spans="2:16">
      <c r="C40" s="56" t="s">
        <v>273</v>
      </c>
      <c r="D40" s="60">
        <f>N32*(1+E5)^($C$20-$C$17)</f>
        <v>5192.7750000000005</v>
      </c>
      <c r="E40" s="60">
        <f>D40*(1+$E$5)</f>
        <v>5452.4137500000006</v>
      </c>
      <c r="F40" s="60">
        <f>E40*(1+$E$5)</f>
        <v>5725.0344375000013</v>
      </c>
      <c r="G40" s="60">
        <f>F40*(1+$E$5)</f>
        <v>6011.2861593750013</v>
      </c>
      <c r="H40" s="60">
        <f t="shared" ref="H40:K40" si="3">G40*(1+$E$5)</f>
        <v>6311.8504673437519</v>
      </c>
      <c r="I40" s="60">
        <f t="shared" si="3"/>
        <v>6627.4429907109397</v>
      </c>
      <c r="J40" s="60">
        <f t="shared" si="3"/>
        <v>6958.8151402464873</v>
      </c>
      <c r="K40" s="60">
        <f t="shared" si="3"/>
        <v>7306.7558972588122</v>
      </c>
      <c r="L40" s="60"/>
    </row>
    <row r="41" spans="2:16">
      <c r="C41" s="56" t="s">
        <v>274</v>
      </c>
      <c r="D41" s="60">
        <f>O32*(1+E6)^($C$20-$C$17)</f>
        <v>1278.0185600000002</v>
      </c>
      <c r="E41" s="60">
        <f>D41*(1+$E$6)</f>
        <v>1329.1393024000004</v>
      </c>
      <c r="F41" s="60">
        <f t="shared" ref="F41:K41" si="4">E41*(1+$E$6)</f>
        <v>1382.3048744960004</v>
      </c>
      <c r="G41" s="60">
        <f t="shared" si="4"/>
        <v>1437.5970694758405</v>
      </c>
      <c r="H41" s="60">
        <f t="shared" si="4"/>
        <v>1495.1009522548741</v>
      </c>
      <c r="I41" s="60">
        <f t="shared" si="4"/>
        <v>1554.9049903450691</v>
      </c>
      <c r="J41" s="60">
        <f t="shared" si="4"/>
        <v>1617.1011899588718</v>
      </c>
      <c r="K41" s="60">
        <f t="shared" si="4"/>
        <v>1681.7852375572268</v>
      </c>
      <c r="L41" s="60"/>
    </row>
    <row r="42" spans="2:16">
      <c r="C42" s="61"/>
      <c r="D42" s="123"/>
      <c r="E42" s="123"/>
      <c r="F42" s="123"/>
      <c r="G42" s="123"/>
      <c r="H42" s="123"/>
      <c r="I42" s="123"/>
      <c r="J42" s="123"/>
      <c r="K42" s="123"/>
      <c r="L42" s="123"/>
    </row>
    <row r="43" spans="2:16">
      <c r="C43" s="26" t="s">
        <v>290</v>
      </c>
      <c r="D43" s="123"/>
      <c r="E43" s="123"/>
      <c r="F43" s="123"/>
      <c r="G43" s="123"/>
      <c r="H43" s="123"/>
      <c r="I43" s="123"/>
      <c r="J43" s="123"/>
      <c r="K43" s="123"/>
      <c r="L43" s="123"/>
    </row>
    <row r="44" spans="2:16">
      <c r="C44" s="55" t="s">
        <v>145</v>
      </c>
      <c r="D44" s="56">
        <v>2014</v>
      </c>
      <c r="E44" s="56">
        <v>2015</v>
      </c>
      <c r="F44" s="56">
        <v>2016</v>
      </c>
      <c r="G44" s="56">
        <v>2017</v>
      </c>
      <c r="H44" s="56">
        <v>2018</v>
      </c>
      <c r="I44" s="56">
        <v>2019</v>
      </c>
      <c r="J44" s="56">
        <v>2020</v>
      </c>
      <c r="K44" s="56">
        <v>2021</v>
      </c>
      <c r="L44" s="56" t="s">
        <v>146</v>
      </c>
    </row>
    <row r="45" spans="2:16">
      <c r="C45" s="56" t="s">
        <v>280</v>
      </c>
      <c r="D45" s="60">
        <f>G25/H25*6/12</f>
        <v>10000000</v>
      </c>
      <c r="E45" s="60">
        <f>G25/H25</f>
        <v>20000000</v>
      </c>
      <c r="F45" s="60">
        <f>E45</f>
        <v>20000000</v>
      </c>
      <c r="G45" s="60">
        <f t="shared" ref="G45:K45" si="5">F45</f>
        <v>20000000</v>
      </c>
      <c r="H45" s="60">
        <f t="shared" si="5"/>
        <v>20000000</v>
      </c>
      <c r="I45" s="60">
        <f t="shared" si="5"/>
        <v>20000000</v>
      </c>
      <c r="J45" s="60">
        <f t="shared" si="5"/>
        <v>20000000</v>
      </c>
      <c r="K45" s="60">
        <f t="shared" si="5"/>
        <v>20000000</v>
      </c>
      <c r="L45" s="60"/>
    </row>
    <row r="46" spans="2:16">
      <c r="C46" s="61"/>
      <c r="D46" s="123"/>
      <c r="E46" s="123"/>
      <c r="F46" s="123"/>
      <c r="G46" s="123"/>
      <c r="H46" s="123"/>
      <c r="I46" s="123"/>
      <c r="J46" s="123"/>
      <c r="K46" s="123"/>
      <c r="L46" s="123"/>
    </row>
    <row r="47" spans="2:16">
      <c r="C47" s="61"/>
      <c r="D47" s="123"/>
      <c r="E47" s="125"/>
      <c r="F47" s="125"/>
      <c r="G47" s="125"/>
      <c r="H47" s="123"/>
      <c r="I47" s="123"/>
      <c r="J47" s="123"/>
      <c r="K47" s="123"/>
      <c r="L47" s="123"/>
    </row>
    <row r="48" spans="2:16">
      <c r="C48" s="26" t="s">
        <v>291</v>
      </c>
      <c r="D48" s="26"/>
      <c r="E48" s="26"/>
      <c r="F48" s="26"/>
      <c r="G48" s="26"/>
      <c r="H48" s="26"/>
      <c r="I48" s="26"/>
      <c r="J48" s="26"/>
      <c r="K48" s="26"/>
      <c r="L48" s="26"/>
    </row>
    <row r="49" spans="3:12">
      <c r="C49" s="55" t="s">
        <v>145</v>
      </c>
      <c r="D49" s="56">
        <v>2014</v>
      </c>
      <c r="E49" s="56">
        <v>2015</v>
      </c>
      <c r="F49" s="56">
        <v>2016</v>
      </c>
      <c r="G49" s="56">
        <v>2017</v>
      </c>
      <c r="H49" s="56">
        <v>2018</v>
      </c>
      <c r="I49" s="56">
        <v>2019</v>
      </c>
      <c r="J49" s="56">
        <v>2020</v>
      </c>
      <c r="K49" s="56">
        <v>2021</v>
      </c>
      <c r="L49" s="56" t="s">
        <v>146</v>
      </c>
    </row>
    <row r="50" spans="3:12">
      <c r="C50" s="56" t="s">
        <v>270</v>
      </c>
      <c r="D50" s="60">
        <f>D37*RFQ정보!C$28</f>
        <v>3844968.75</v>
      </c>
      <c r="E50" s="60">
        <f>E37*RFQ정보!D$28</f>
        <v>13457390.625</v>
      </c>
      <c r="F50" s="60">
        <f>F37*RFQ정보!E$28</f>
        <v>16956312.1875</v>
      </c>
      <c r="G50" s="60">
        <f>G37*RFQ정보!F$28</f>
        <v>22255159.74609375</v>
      </c>
      <c r="H50" s="60">
        <f>H37*RFQ정보!G$28</f>
        <v>28041501.280078128</v>
      </c>
      <c r="I50" s="60">
        <f>I37*RFQ정보!H$28</f>
        <v>32715084.826757815</v>
      </c>
      <c r="J50" s="60">
        <f>J37*RFQ정보!I$28</f>
        <v>34350839.068095706</v>
      </c>
      <c r="K50" s="60">
        <f>K37*RFQ정보!J$28</f>
        <v>27051285.766125374</v>
      </c>
      <c r="L50" s="60"/>
    </row>
    <row r="51" spans="3:12">
      <c r="C51" s="56" t="s">
        <v>271</v>
      </c>
      <c r="D51" s="60">
        <f>D38*RFQ정보!C$28</f>
        <v>1182664.7040000001</v>
      </c>
      <c r="E51" s="60">
        <f>E38*RFQ정보!D$28</f>
        <v>4099904.3072000011</v>
      </c>
      <c r="F51" s="60">
        <f>F38*RFQ정보!E$28</f>
        <v>5116680.5753856013</v>
      </c>
      <c r="G51" s="60">
        <f>G38*RFQ정보!F$28</f>
        <v>6651684.7480012821</v>
      </c>
      <c r="H51" s="60">
        <f>H38*RFQ정보!G$28</f>
        <v>8301302.5655056005</v>
      </c>
      <c r="I51" s="60">
        <f>I38*RFQ정보!H$28</f>
        <v>9592616.297917584</v>
      </c>
      <c r="J51" s="60">
        <f>J38*RFQ정보!I$28</f>
        <v>9976320.9498342872</v>
      </c>
      <c r="K51" s="60">
        <f>K38*RFQ정보!J$28</f>
        <v>7781530.3408707445</v>
      </c>
      <c r="L51" s="60"/>
    </row>
    <row r="52" spans="3:12">
      <c r="C52" s="56" t="s">
        <v>272</v>
      </c>
      <c r="D52" s="60">
        <f>D39*RFQ정보!C$28+D45</f>
        <v>10300000</v>
      </c>
      <c r="E52" s="60">
        <f>E39*RFQ정보!D$28+E45</f>
        <v>21000000</v>
      </c>
      <c r="F52" s="60">
        <f>F39*RFQ정보!E$28+F45</f>
        <v>21200000</v>
      </c>
      <c r="G52" s="60">
        <f>G39*RFQ정보!F$28+G45</f>
        <v>21500000</v>
      </c>
      <c r="H52" s="60">
        <f>H39*RFQ정보!G$28+H45</f>
        <v>21800000</v>
      </c>
      <c r="I52" s="60">
        <f>I39*RFQ정보!H$28+I45</f>
        <v>22000000</v>
      </c>
      <c r="J52" s="60">
        <f>J39*RFQ정보!I$28+J45</f>
        <v>22000000</v>
      </c>
      <c r="K52" s="60">
        <f>K39*RFQ정보!J$28+K45</f>
        <v>21500000</v>
      </c>
      <c r="L52" s="60"/>
    </row>
    <row r="53" spans="3:12">
      <c r="C53" s="56" t="s">
        <v>273</v>
      </c>
      <c r="D53" s="60">
        <f>D40*RFQ정보!C$28</f>
        <v>1557832.5000000002</v>
      </c>
      <c r="E53" s="60">
        <f>E40*RFQ정보!D$28</f>
        <v>5452413.7500000009</v>
      </c>
      <c r="F53" s="60">
        <f>F40*RFQ정보!E$28</f>
        <v>6870041.325000002</v>
      </c>
      <c r="G53" s="60">
        <f>G40*RFQ정보!F$28</f>
        <v>9016929.2390625011</v>
      </c>
      <c r="H53" s="60">
        <f>H40*RFQ정보!G$28</f>
        <v>11361330.841218753</v>
      </c>
      <c r="I53" s="60">
        <f>I40*RFQ정보!H$28</f>
        <v>13254885.981421879</v>
      </c>
      <c r="J53" s="60">
        <f>J40*RFQ정보!I$28</f>
        <v>13917630.280492974</v>
      </c>
      <c r="K53" s="60">
        <f>K40*RFQ정보!J$28</f>
        <v>10960133.845888218</v>
      </c>
      <c r="L53" s="60"/>
    </row>
    <row r="54" spans="3:12">
      <c r="C54" s="56" t="s">
        <v>274</v>
      </c>
      <c r="D54" s="60">
        <f>D41*RFQ정보!C$28</f>
        <v>383405.56800000009</v>
      </c>
      <c r="E54" s="60">
        <f>E41*RFQ정보!D$28</f>
        <v>1329139.3024000004</v>
      </c>
      <c r="F54" s="60">
        <f>F41*RFQ정보!E$28</f>
        <v>1658765.8493952004</v>
      </c>
      <c r="G54" s="60">
        <f>G41*RFQ정보!F$28</f>
        <v>2156395.6042137607</v>
      </c>
      <c r="H54" s="60">
        <f>H41*RFQ정보!G$28</f>
        <v>2691181.7140587731</v>
      </c>
      <c r="I54" s="60">
        <f>I41*RFQ정보!H$28</f>
        <v>3109809.9806901384</v>
      </c>
      <c r="J54" s="60">
        <f>J41*RFQ정보!I$28</f>
        <v>3234202.3799177436</v>
      </c>
      <c r="K54" s="60">
        <f>K41*RFQ정보!J$28</f>
        <v>2522677.8563358402</v>
      </c>
      <c r="L54" s="60"/>
    </row>
  </sheetData>
  <mergeCells count="22">
    <mergeCell ref="D15:D16"/>
    <mergeCell ref="E15:E16"/>
    <mergeCell ref="K15:O15"/>
    <mergeCell ref="H15:H16"/>
    <mergeCell ref="G15:G16"/>
    <mergeCell ref="J15:J16"/>
    <mergeCell ref="P15:P16"/>
    <mergeCell ref="B15:B16"/>
    <mergeCell ref="C15:C16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K23:O23"/>
    <mergeCell ref="P23:P24"/>
    <mergeCell ref="I15:I16"/>
    <mergeCell ref="F15:F16"/>
  </mergeCells>
  <phoneticPr fontId="2" type="noConversion"/>
  <pageMargins left="0.75" right="0.75" top="1" bottom="1" header="0.5" footer="0.5"/>
  <pageSetup paperSize="9" orientation="portrait" copies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Q51"/>
  <sheetViews>
    <sheetView topLeftCell="A34" workbookViewId="0">
      <selection activeCell="J25" sqref="J25"/>
    </sheetView>
  </sheetViews>
  <sheetFormatPr defaultRowHeight="14.4"/>
  <sheetData>
    <row r="3" spans="1:17" s="37" customFormat="1" ht="15.6">
      <c r="B3" s="40" t="s">
        <v>168</v>
      </c>
      <c r="C3" s="38"/>
      <c r="D3" s="38"/>
      <c r="E3" s="39"/>
      <c r="F3" s="39"/>
      <c r="G3" s="39"/>
      <c r="M3" s="7"/>
      <c r="N3" s="7"/>
      <c r="O3" s="7"/>
      <c r="P3" s="7"/>
      <c r="Q3" s="7"/>
    </row>
    <row r="4" spans="1:17" s="7" customFormat="1" ht="15.6">
      <c r="D4" s="13"/>
      <c r="E4" s="13"/>
      <c r="F4" s="13"/>
      <c r="G4" s="13"/>
      <c r="H4" s="13"/>
    </row>
    <row r="5" spans="1:17" s="7" customFormat="1" ht="16.2" thickBot="1">
      <c r="A5" s="13"/>
      <c r="B5" s="13"/>
      <c r="D5" s="13"/>
    </row>
    <row r="6" spans="1:17" s="7" customFormat="1" ht="31.2">
      <c r="B6" s="109" t="s">
        <v>169</v>
      </c>
      <c r="C6" s="110" t="s">
        <v>170</v>
      </c>
      <c r="D6" s="110" t="s">
        <v>171</v>
      </c>
      <c r="E6" s="111" t="s">
        <v>172</v>
      </c>
      <c r="F6" s="110" t="s">
        <v>175</v>
      </c>
      <c r="G6" s="110" t="s">
        <v>176</v>
      </c>
      <c r="H6" s="112" t="s">
        <v>177</v>
      </c>
    </row>
    <row r="7" spans="1:17" s="7" customFormat="1" ht="15.6">
      <c r="B7" s="101">
        <v>1</v>
      </c>
      <c r="C7" s="102">
        <v>2013</v>
      </c>
      <c r="D7" s="41"/>
      <c r="E7" s="41" t="s">
        <v>178</v>
      </c>
      <c r="F7" s="102">
        <v>3010</v>
      </c>
      <c r="G7" s="102" t="s">
        <v>68</v>
      </c>
      <c r="H7" s="45">
        <v>5.0000000000000001E-3</v>
      </c>
    </row>
    <row r="8" spans="1:17" s="7" customFormat="1" ht="15.6">
      <c r="B8" s="101">
        <v>2</v>
      </c>
      <c r="C8" s="102">
        <v>2013</v>
      </c>
      <c r="D8" s="41"/>
      <c r="E8" s="41" t="s">
        <v>178</v>
      </c>
      <c r="F8" s="102">
        <v>3110</v>
      </c>
      <c r="G8" s="102" t="s">
        <v>27</v>
      </c>
      <c r="H8" s="45">
        <v>3.0000000000000001E-3</v>
      </c>
    </row>
    <row r="9" spans="1:17" s="7" customFormat="1" ht="15.6">
      <c r="B9" s="101">
        <v>3</v>
      </c>
      <c r="C9" s="102">
        <v>2013</v>
      </c>
      <c r="D9" s="41"/>
      <c r="E9" s="41" t="s">
        <v>173</v>
      </c>
      <c r="F9" s="102">
        <v>3120</v>
      </c>
      <c r="G9" s="102" t="s">
        <v>26</v>
      </c>
      <c r="H9" s="45">
        <v>1E-3</v>
      </c>
    </row>
    <row r="10" spans="1:17" s="7" customFormat="1" ht="15.6">
      <c r="B10" s="101">
        <v>4</v>
      </c>
      <c r="C10" s="102">
        <v>2013</v>
      </c>
      <c r="D10" s="41"/>
      <c r="E10" s="41" t="s">
        <v>173</v>
      </c>
      <c r="F10" s="102">
        <v>3040</v>
      </c>
      <c r="G10" s="102" t="s">
        <v>58</v>
      </c>
      <c r="H10" s="45">
        <v>3.0000000000000001E-3</v>
      </c>
    </row>
    <row r="11" spans="1:17" s="7" customFormat="1" ht="15.6">
      <c r="B11" s="101">
        <v>5</v>
      </c>
      <c r="C11" s="102">
        <v>2013</v>
      </c>
      <c r="D11" s="41"/>
      <c r="E11" s="41" t="s">
        <v>173</v>
      </c>
      <c r="F11" s="102">
        <v>3050</v>
      </c>
      <c r="G11" s="102" t="s">
        <v>59</v>
      </c>
      <c r="H11" s="45">
        <v>2E-3</v>
      </c>
    </row>
    <row r="12" spans="1:17" s="7" customFormat="1" ht="15.6">
      <c r="B12" s="101">
        <v>6</v>
      </c>
      <c r="C12" s="102">
        <v>2013</v>
      </c>
      <c r="D12" s="41"/>
      <c r="E12" s="41" t="s">
        <v>173</v>
      </c>
      <c r="F12" s="102">
        <v>3060</v>
      </c>
      <c r="G12" s="102" t="s">
        <v>60</v>
      </c>
      <c r="H12" s="45">
        <v>5.0000000000000001E-4</v>
      </c>
    </row>
    <row r="13" spans="1:17" s="7" customFormat="1" ht="15.6">
      <c r="B13" s="101">
        <v>7</v>
      </c>
      <c r="C13" s="102">
        <v>2013</v>
      </c>
      <c r="D13" s="41"/>
      <c r="E13" s="41" t="s">
        <v>173</v>
      </c>
      <c r="F13" s="102">
        <v>3070</v>
      </c>
      <c r="G13" s="102" t="s">
        <v>61</v>
      </c>
      <c r="H13" s="45">
        <v>5.0000000000000001E-4</v>
      </c>
    </row>
    <row r="14" spans="1:17" s="7" customFormat="1" ht="15.6">
      <c r="B14" s="101">
        <v>8</v>
      </c>
      <c r="C14" s="102">
        <v>2013</v>
      </c>
      <c r="D14" s="41"/>
      <c r="E14" s="41" t="s">
        <v>173</v>
      </c>
      <c r="F14" s="102">
        <v>3080</v>
      </c>
      <c r="G14" s="102" t="s">
        <v>62</v>
      </c>
      <c r="H14" s="45">
        <v>8.0000000000000002E-3</v>
      </c>
    </row>
    <row r="15" spans="1:17" s="7" customFormat="1" ht="15.6">
      <c r="B15" s="101">
        <v>9</v>
      </c>
      <c r="C15" s="102">
        <v>2013</v>
      </c>
      <c r="D15" s="41"/>
      <c r="E15" s="41" t="s">
        <v>173</v>
      </c>
      <c r="F15" s="102">
        <v>3090</v>
      </c>
      <c r="G15" s="102" t="s">
        <v>174</v>
      </c>
      <c r="H15" s="45">
        <v>1.1999999999999999E-3</v>
      </c>
    </row>
    <row r="16" spans="1:17" s="7" customFormat="1" ht="15.6">
      <c r="B16" s="101">
        <v>10</v>
      </c>
      <c r="C16" s="102">
        <v>2013</v>
      </c>
      <c r="D16" s="41"/>
      <c r="E16" s="41" t="s">
        <v>173</v>
      </c>
      <c r="F16" s="102">
        <v>4010</v>
      </c>
      <c r="G16" s="102" t="s">
        <v>64</v>
      </c>
      <c r="H16" s="45">
        <v>1E-3</v>
      </c>
    </row>
    <row r="17" spans="2:12" s="7" customFormat="1" ht="15.6">
      <c r="B17" s="101">
        <v>11</v>
      </c>
      <c r="C17" s="102">
        <v>2013</v>
      </c>
      <c r="D17" s="41"/>
      <c r="E17" s="41" t="s">
        <v>173</v>
      </c>
      <c r="F17" s="102">
        <v>4020</v>
      </c>
      <c r="G17" s="102" t="s">
        <v>65</v>
      </c>
      <c r="H17" s="45">
        <v>8.0000000000000004E-4</v>
      </c>
    </row>
    <row r="18" spans="2:12" s="7" customFormat="1" ht="15.6">
      <c r="B18" s="101">
        <v>12</v>
      </c>
      <c r="C18" s="102">
        <v>2013</v>
      </c>
      <c r="D18" s="41"/>
      <c r="E18" s="41" t="s">
        <v>173</v>
      </c>
      <c r="F18" s="102">
        <v>5010</v>
      </c>
      <c r="G18" s="102" t="s">
        <v>67</v>
      </c>
      <c r="H18" s="45">
        <v>2.5000000000000001E-3</v>
      </c>
    </row>
    <row r="19" spans="2:12" s="7" customFormat="1" ht="15.6">
      <c r="B19" s="101">
        <v>13</v>
      </c>
      <c r="C19" s="102">
        <v>2013</v>
      </c>
      <c r="D19" s="41"/>
      <c r="E19" s="41" t="s">
        <v>173</v>
      </c>
      <c r="F19" s="102">
        <v>5020</v>
      </c>
      <c r="G19" s="102" t="s">
        <v>29</v>
      </c>
      <c r="H19" s="45">
        <v>2E-3</v>
      </c>
    </row>
    <row r="20" spans="2:12" s="7" customFormat="1" ht="16.2" thickBot="1">
      <c r="B20" s="105"/>
      <c r="C20" s="106"/>
      <c r="D20" s="107"/>
      <c r="E20" s="107"/>
      <c r="F20" s="106"/>
      <c r="G20" s="106"/>
      <c r="H20" s="46"/>
    </row>
    <row r="21" spans="2:12" s="7" customFormat="1" ht="15.6">
      <c r="D21" s="13"/>
      <c r="E21" s="13"/>
      <c r="F21" s="13"/>
      <c r="G21" s="13"/>
      <c r="H21" s="13"/>
    </row>
    <row r="22" spans="2:12" s="7" customFormat="1" ht="15.6">
      <c r="D22" s="13"/>
      <c r="E22" s="13"/>
      <c r="F22" s="13"/>
      <c r="G22" s="13"/>
      <c r="H22" s="13"/>
      <c r="I22" s="13"/>
      <c r="J22" s="13"/>
      <c r="K22" s="13"/>
      <c r="L22" s="13"/>
    </row>
    <row r="23" spans="2:12" s="7" customFormat="1" ht="15.6">
      <c r="B23" s="40" t="s">
        <v>223</v>
      </c>
      <c r="C23" s="38"/>
      <c r="D23" s="38"/>
      <c r="E23" s="39"/>
      <c r="F23" s="39"/>
      <c r="G23" s="39"/>
      <c r="H23" s="37"/>
      <c r="I23" s="37"/>
      <c r="J23" s="37"/>
      <c r="K23" s="37"/>
      <c r="L23" s="37"/>
    </row>
    <row r="24" spans="2:12" s="7" customFormat="1" ht="16.2" thickBot="1">
      <c r="E24" s="13"/>
      <c r="F24" s="13"/>
      <c r="G24" s="13"/>
      <c r="H24" s="13"/>
      <c r="I24" s="13"/>
    </row>
    <row r="25" spans="2:12" s="7" customFormat="1" ht="15.6">
      <c r="B25" s="23" t="s">
        <v>224</v>
      </c>
      <c r="C25" s="24" t="s">
        <v>225</v>
      </c>
      <c r="D25" s="24" t="s">
        <v>226</v>
      </c>
      <c r="E25" s="24" t="s">
        <v>227</v>
      </c>
      <c r="F25" s="24" t="s">
        <v>228</v>
      </c>
      <c r="G25" s="24" t="s">
        <v>229</v>
      </c>
      <c r="H25" s="47" t="s">
        <v>230</v>
      </c>
      <c r="I25" s="25" t="s">
        <v>231</v>
      </c>
    </row>
    <row r="26" spans="2:12" s="7" customFormat="1" ht="15.6">
      <c r="B26" s="35">
        <v>1</v>
      </c>
      <c r="C26" s="14" t="s">
        <v>4</v>
      </c>
      <c r="D26" s="9" t="s">
        <v>1</v>
      </c>
      <c r="E26" s="14">
        <v>1</v>
      </c>
      <c r="F26" s="14" t="s">
        <v>232</v>
      </c>
      <c r="G26" s="14"/>
      <c r="H26" s="48"/>
      <c r="I26" s="49" t="s">
        <v>233</v>
      </c>
    </row>
    <row r="27" spans="2:12" s="7" customFormat="1" ht="15.6">
      <c r="B27" s="33">
        <v>2</v>
      </c>
      <c r="C27" s="15" t="s">
        <v>5</v>
      </c>
      <c r="D27" s="8" t="s">
        <v>234</v>
      </c>
      <c r="E27" s="15">
        <v>1</v>
      </c>
      <c r="F27" s="15" t="s">
        <v>232</v>
      </c>
      <c r="G27" s="15" t="s">
        <v>235</v>
      </c>
      <c r="H27" s="50"/>
      <c r="I27" s="51" t="s">
        <v>233</v>
      </c>
    </row>
    <row r="28" spans="2:12" s="7" customFormat="1" ht="15.6">
      <c r="B28" s="33">
        <v>3</v>
      </c>
      <c r="C28" s="15" t="s">
        <v>6</v>
      </c>
      <c r="D28" s="8" t="s">
        <v>236</v>
      </c>
      <c r="E28" s="15">
        <v>5</v>
      </c>
      <c r="F28" s="15" t="s">
        <v>237</v>
      </c>
      <c r="G28" s="15" t="s">
        <v>238</v>
      </c>
      <c r="H28" s="50"/>
      <c r="I28" s="51" t="s">
        <v>233</v>
      </c>
    </row>
    <row r="29" spans="2:12" s="7" customFormat="1" ht="15.6">
      <c r="B29" s="33">
        <v>4</v>
      </c>
      <c r="C29" s="15" t="s">
        <v>7</v>
      </c>
      <c r="D29" s="8" t="s">
        <v>239</v>
      </c>
      <c r="E29" s="15">
        <v>4</v>
      </c>
      <c r="F29" s="15" t="s">
        <v>240</v>
      </c>
      <c r="G29" s="15" t="s">
        <v>241</v>
      </c>
      <c r="H29" s="50"/>
      <c r="I29" s="51" t="s">
        <v>233</v>
      </c>
    </row>
    <row r="30" spans="2:12" s="7" customFormat="1" ht="15.6">
      <c r="B30" s="33">
        <v>5</v>
      </c>
      <c r="C30" s="15" t="s">
        <v>8</v>
      </c>
      <c r="D30" s="8" t="s">
        <v>242</v>
      </c>
      <c r="E30" s="15">
        <v>4</v>
      </c>
      <c r="F30" s="15" t="s">
        <v>243</v>
      </c>
      <c r="G30" s="15" t="s">
        <v>241</v>
      </c>
      <c r="H30" s="50"/>
      <c r="I30" s="51" t="s">
        <v>233</v>
      </c>
    </row>
    <row r="31" spans="2:12" s="7" customFormat="1" ht="15.6">
      <c r="B31" s="33">
        <v>6</v>
      </c>
      <c r="C31" s="15" t="s">
        <v>9</v>
      </c>
      <c r="D31" s="8" t="s">
        <v>244</v>
      </c>
      <c r="E31" s="15">
        <v>3</v>
      </c>
      <c r="F31" s="15" t="s">
        <v>245</v>
      </c>
      <c r="G31" s="15" t="s">
        <v>246</v>
      </c>
      <c r="H31" s="50"/>
      <c r="I31" s="51" t="s">
        <v>233</v>
      </c>
    </row>
    <row r="32" spans="2:12" s="7" customFormat="1" ht="15.6">
      <c r="B32" s="33">
        <v>7</v>
      </c>
      <c r="C32" s="15" t="s">
        <v>10</v>
      </c>
      <c r="D32" s="8" t="s">
        <v>3</v>
      </c>
      <c r="E32" s="15">
        <v>9</v>
      </c>
      <c r="F32" s="15" t="s">
        <v>247</v>
      </c>
      <c r="G32" s="15" t="s">
        <v>51</v>
      </c>
      <c r="H32" s="50"/>
      <c r="I32" s="51" t="s">
        <v>233</v>
      </c>
    </row>
    <row r="33" spans="2:17" s="7" customFormat="1" ht="16.2" thickBot="1">
      <c r="B33" s="34">
        <v>8</v>
      </c>
      <c r="C33" s="28" t="s">
        <v>11</v>
      </c>
      <c r="D33" s="27" t="s">
        <v>52</v>
      </c>
      <c r="E33" s="28">
        <v>2</v>
      </c>
      <c r="F33" s="28" t="s">
        <v>2</v>
      </c>
      <c r="G33" s="28" t="s">
        <v>53</v>
      </c>
      <c r="H33" s="53"/>
      <c r="I33" s="52" t="s">
        <v>30</v>
      </c>
    </row>
    <row r="34" spans="2:17" s="7" customFormat="1" ht="15.6">
      <c r="D34" s="13"/>
      <c r="E34" s="13"/>
      <c r="F34" s="13"/>
      <c r="G34" s="13"/>
      <c r="H34" s="13"/>
      <c r="I34" s="13"/>
      <c r="J34" s="13"/>
      <c r="K34" s="13"/>
      <c r="L34" s="13"/>
    </row>
    <row r="36" spans="2:17" s="37" customFormat="1" ht="15.6">
      <c r="B36" s="40" t="s">
        <v>88</v>
      </c>
      <c r="C36" s="38"/>
      <c r="D36" s="38"/>
      <c r="E36" s="39"/>
      <c r="F36" s="39"/>
      <c r="G36" s="39"/>
      <c r="N36" s="7"/>
      <c r="O36" s="7"/>
      <c r="P36" s="7"/>
      <c r="Q36" s="7"/>
    </row>
    <row r="37" spans="2:17" s="7" customFormat="1" ht="16.2" thickBot="1">
      <c r="D37" s="13"/>
      <c r="E37" s="13"/>
      <c r="F37" s="13"/>
      <c r="G37" s="13"/>
      <c r="H37" s="13"/>
      <c r="I37" s="13"/>
      <c r="J37" s="13"/>
      <c r="K37" s="13"/>
      <c r="L37" s="13"/>
    </row>
    <row r="38" spans="2:17" s="7" customFormat="1" ht="31.2">
      <c r="B38" s="29" t="s">
        <v>21</v>
      </c>
      <c r="C38" s="30" t="s">
        <v>89</v>
      </c>
      <c r="D38" s="96" t="s">
        <v>90</v>
      </c>
      <c r="E38" s="96" t="s">
        <v>91</v>
      </c>
      <c r="F38" s="31" t="s">
        <v>92</v>
      </c>
    </row>
    <row r="39" spans="2:17" s="7" customFormat="1" ht="15.6">
      <c r="B39" s="97">
        <v>1</v>
      </c>
      <c r="C39" s="98">
        <v>2012</v>
      </c>
      <c r="D39" s="99" t="s">
        <v>49</v>
      </c>
      <c r="E39" s="98" t="s">
        <v>48</v>
      </c>
      <c r="F39" s="100">
        <v>1200</v>
      </c>
    </row>
    <row r="40" spans="2:17" s="7" customFormat="1" ht="15.6">
      <c r="B40" s="101">
        <v>2</v>
      </c>
      <c r="C40" s="102">
        <v>2012</v>
      </c>
      <c r="D40" s="41" t="s">
        <v>93</v>
      </c>
      <c r="E40" s="102" t="s">
        <v>94</v>
      </c>
      <c r="F40" s="103">
        <v>1350</v>
      </c>
    </row>
    <row r="41" spans="2:17" s="7" customFormat="1" ht="15.6">
      <c r="B41" s="101">
        <v>3</v>
      </c>
      <c r="C41" s="102">
        <v>2012</v>
      </c>
      <c r="D41" s="41" t="s">
        <v>167</v>
      </c>
      <c r="E41" s="102" t="s">
        <v>94</v>
      </c>
      <c r="F41" s="103">
        <v>1500</v>
      </c>
    </row>
    <row r="42" spans="2:17" s="7" customFormat="1" ht="15.6">
      <c r="B42" s="101">
        <v>4</v>
      </c>
      <c r="C42" s="102" t="s">
        <v>0</v>
      </c>
      <c r="D42" s="41" t="s">
        <v>0</v>
      </c>
      <c r="E42" s="102" t="s">
        <v>0</v>
      </c>
      <c r="F42" s="104" t="s">
        <v>0</v>
      </c>
    </row>
    <row r="43" spans="2:17" s="7" customFormat="1" ht="15.6">
      <c r="B43" s="101">
        <v>5</v>
      </c>
      <c r="C43" s="102">
        <v>2013</v>
      </c>
      <c r="D43" s="41" t="s">
        <v>95</v>
      </c>
      <c r="E43" s="102" t="s">
        <v>94</v>
      </c>
      <c r="F43" s="104">
        <v>1100</v>
      </c>
    </row>
    <row r="44" spans="2:17" s="7" customFormat="1" ht="15.6">
      <c r="B44" s="101">
        <v>6</v>
      </c>
      <c r="C44" s="102">
        <v>2013</v>
      </c>
      <c r="D44" s="41" t="s">
        <v>96</v>
      </c>
      <c r="E44" s="102" t="s">
        <v>94</v>
      </c>
      <c r="F44" s="103">
        <v>1400</v>
      </c>
    </row>
    <row r="45" spans="2:17" s="7" customFormat="1" ht="15.6">
      <c r="B45" s="101">
        <v>7</v>
      </c>
      <c r="C45" s="102">
        <v>2013</v>
      </c>
      <c r="D45" s="41" t="s">
        <v>97</v>
      </c>
      <c r="E45" s="102" t="s">
        <v>94</v>
      </c>
      <c r="F45" s="103">
        <v>1600</v>
      </c>
    </row>
    <row r="46" spans="2:17" s="7" customFormat="1" ht="15.6">
      <c r="B46" s="101">
        <v>8</v>
      </c>
      <c r="C46" s="102" t="s">
        <v>0</v>
      </c>
      <c r="D46" s="41" t="s">
        <v>0</v>
      </c>
      <c r="E46" s="102" t="s">
        <v>0</v>
      </c>
      <c r="F46" s="103" t="s">
        <v>0</v>
      </c>
    </row>
    <row r="47" spans="2:17" s="7" customFormat="1" ht="15.6">
      <c r="B47" s="101">
        <v>9</v>
      </c>
      <c r="C47" s="102"/>
      <c r="D47" s="41"/>
      <c r="E47" s="102"/>
      <c r="F47" s="103"/>
    </row>
    <row r="48" spans="2:17" s="7" customFormat="1" ht="15.6">
      <c r="B48" s="101">
        <v>10</v>
      </c>
      <c r="C48" s="102"/>
      <c r="D48" s="41"/>
      <c r="E48" s="102"/>
      <c r="F48" s="103"/>
    </row>
    <row r="49" spans="2:12" s="7" customFormat="1" ht="15.6">
      <c r="B49" s="101">
        <v>11</v>
      </c>
      <c r="C49" s="102"/>
      <c r="D49" s="41"/>
      <c r="E49" s="102"/>
      <c r="F49" s="103"/>
    </row>
    <row r="50" spans="2:12" s="7" customFormat="1" ht="16.2" thickBot="1">
      <c r="B50" s="105">
        <v>12</v>
      </c>
      <c r="C50" s="106"/>
      <c r="D50" s="107"/>
      <c r="E50" s="106"/>
      <c r="F50" s="108"/>
    </row>
    <row r="51" spans="2:12" s="7" customFormat="1" ht="15.6">
      <c r="D51" s="13"/>
      <c r="E51" s="13"/>
      <c r="F51" s="13"/>
      <c r="G51" s="13"/>
      <c r="H51" s="13"/>
      <c r="I51" s="13"/>
      <c r="J51" s="13"/>
      <c r="K51" s="13"/>
      <c r="L51" s="1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"/>
  <sheetViews>
    <sheetView workbookViewId="0">
      <selection activeCell="I52" sqref="I52"/>
    </sheetView>
  </sheetViews>
  <sheetFormatPr defaultRowHeight="14.4"/>
  <sheetData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>
      <selection activeCell="L32" sqref="L32"/>
    </sheetView>
  </sheetViews>
  <sheetFormatPr defaultRowHeight="14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1</vt:i4>
      </vt:variant>
    </vt:vector>
  </HeadingPairs>
  <TitlesOfParts>
    <vt:vector size="10" baseType="lpstr">
      <vt:lpstr>List</vt:lpstr>
      <vt:lpstr>견적</vt:lpstr>
      <vt:lpstr>손익계산서</vt:lpstr>
      <vt:lpstr>RFQ정보</vt:lpstr>
      <vt:lpstr>master list(견적BOM)</vt:lpstr>
      <vt:lpstr>원가산출 정보</vt:lpstr>
      <vt:lpstr>기준정보</vt:lpstr>
      <vt:lpstr>목표</vt:lpstr>
      <vt:lpstr>목표수익률</vt:lpstr>
      <vt:lpstr>List!Print_Area</vt:lpstr>
    </vt:vector>
  </TitlesOfParts>
  <Company>SAMIL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Lee Chris</cp:lastModifiedBy>
  <cp:lastPrinted>2011-04-06T12:17:17Z</cp:lastPrinted>
  <dcterms:created xsi:type="dcterms:W3CDTF">2007-10-22T02:21:20Z</dcterms:created>
  <dcterms:modified xsi:type="dcterms:W3CDTF">2026-02-16T03:22:38Z</dcterms:modified>
</cp:coreProperties>
</file>